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Hazem\7azem (1)\7azem\Excel Tasks\task3\"/>
    </mc:Choice>
  </mc:AlternateContent>
  <xr:revisionPtr revIDLastSave="0" documentId="13_ncr:1_{C4F623C6-82AB-41A8-A33B-E9AD9A47C5C5}" xr6:coauthVersionLast="47" xr6:coauthVersionMax="47" xr10:uidLastSave="{00000000-0000-0000-0000-000000000000}"/>
  <bookViews>
    <workbookView xWindow="-108" yWindow="-108" windowWidth="23256" windowHeight="12456" activeTab="1" xr2:uid="{00000000-000D-0000-FFFF-FFFF00000000}"/>
  </bookViews>
  <sheets>
    <sheet name="Pivot Table" sheetId="2" r:id="rId1"/>
    <sheet name="Dashboard" sheetId="3" r:id="rId2"/>
  </sheets>
  <definedNames>
    <definedName name="Slicer_Sub_Category">#N/A</definedName>
  </definedNames>
  <calcPr calcId="162913"/>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<sst xmlns="http://schemas.openxmlformats.org/spreadsheetml/2006/main" count="209" uniqueCount="32">
  <si>
    <t>Grand Total</t>
  </si>
  <si>
    <t>Yellow</t>
  </si>
  <si>
    <t>Silver</t>
  </si>
  <si>
    <t>Red</t>
  </si>
  <si>
    <t>Count of Order_Quantity</t>
  </si>
  <si>
    <t>Average of Profit_Margin_%</t>
  </si>
  <si>
    <t>Sum of Profit</t>
  </si>
  <si>
    <t>Sum of Total_Cost</t>
  </si>
  <si>
    <t>Sum of Revenue</t>
  </si>
  <si>
    <t>Black</t>
  </si>
  <si>
    <t>United States</t>
  </si>
  <si>
    <t>Row Labels</t>
  </si>
  <si>
    <t>United Kingdom</t>
  </si>
  <si>
    <t>Germany</t>
  </si>
  <si>
    <t>France</t>
  </si>
  <si>
    <t>Canada</t>
  </si>
  <si>
    <t>Australia</t>
  </si>
  <si>
    <t>Under 25</t>
  </si>
  <si>
    <t>55+</t>
  </si>
  <si>
    <t>Column Labels</t>
  </si>
  <si>
    <t>45-54</t>
  </si>
  <si>
    <t>35-44</t>
  </si>
  <si>
    <t>25-34</t>
  </si>
  <si>
    <t>M</t>
  </si>
  <si>
    <t>F</t>
  </si>
  <si>
    <t>Road Bikes</t>
  </si>
  <si>
    <t>Mountain Bikes</t>
  </si>
  <si>
    <t>Sum of Order_Quantity</t>
  </si>
  <si>
    <t>Dec</t>
  </si>
  <si>
    <t>Nov</t>
  </si>
  <si>
    <t>Oct</t>
  </si>
  <si>
    <t>Count of Bike_Color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</si>
</sst>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0.0%"/>
    <numFmt numFmtId="166"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44" fontId="0" fillId="0" borderId="0" xfId="0" applyNumberFormat="1"/>
    <xf numFmtId="0" fontId="0" fillId="0" borderId="0" xfId="0" applyAlignment="1">
      <alignment horizontal="left"/>
    </xf>
    <xf numFmtId="166" fontId="0" fillId="0" borderId="0" xfId="0" applyNumberFormat="1"/>
    <xf numFmtId="9" fontId="0" fillId="0" borderId="0" xfId="0" applyNumberFormat="1"/>
    <xf numFmtId="0" fontId="0" fillId="0" borderId="0" xfId="0" pivotButton="1"/>
    <xf numFmtId="44" fontId="0" fillId="0" borderId="0" xfId="0" applyNumberFormat="1" applyAlignment="1">
      <alignment horizontal="left"/>
    </xf>
    <xf numFmtId="166" fontId="0" fillId="0" borderId="0" xfId="0" applyNumberFormat="1" applyAlignment="1">
      <alignment horizontal="left"/>
    </xf>
    <xf numFmtId="44" fontId="0" fillId="0" borderId="0" xfId="0" pivotButton="1" applyNumberFormat="1"/>
    <xf numFmtId="166" fontId="0" fillId="0" borderId="0" xfId="0" pivotButton="1" applyNumberFormat="1"/>
    <xf numFmtId="166" fontId="0" fillId="0" borderId="0" xfId="0" applyNumberFormat="1" applyAlignment="1">
      <alignment horizontal="left" indent="1"/>
    </xf>
    <xf numFmtId="10" fontId="0" fillId="0" borderId="0" xfId="0" applyNumberFormat="1"/>
    <xf numFmtId="10" fontId="0" fillId="0" borderId="0" xfId="0" applyNumberFormat="1" applyAlignment="1">
      <alignment horizontal="left"/>
    </xf>
    <xf numFmtId="10" fontId="0" fillId="0" borderId="0" xfId="0" pivotButton="1" applyNumberFormat="1"/>
    <xf numFmtId="9" fontId="0" fillId="0" borderId="0" xfId="0" applyNumberFormat="1" applyAlignment="1">
      <alignment horizontal="left"/>
    </xf>
    <xf numFmtId="9" fontId="0" fillId="0" borderId="0" xfId="0" pivotButton="1" applyNumberFormat="1"/>
    <xf numFmtId="0" fontId="0" fillId="2" borderId="0" xfId="0" applyFill="1"/>
    <xf numFmtId="0" fontId="0" fillId="2" borderId="0" xfId="0" applyFill="1" applyAlignment="1">
      <alignment horizontal="center"/>
    </xf>
    <xf numFmtId="44" fontId="2" fillId="2" borderId="0" xfId="1" applyFont="1" applyFill="1" applyBorder="1" applyAlignment="1">
      <alignment horizontal="center"/>
    </xf>
    <xf numFmtId="0" fontId="3" fillId="2" borderId="0" xfId="0" applyFont="1" applyFill="1" applyAlignment="1">
      <alignment horizontal="center" vertical="center"/>
    </xf>
    <xf numFmtId="9" fontId="2" fillId="2" borderId="0" xfId="2" applyFont="1" applyFill="1" applyBorder="1" applyAlignment="1">
      <alignment horizontal="center"/>
    </xf>
  </cellXfs>
  <cellStyles count="3">
    <cellStyle name="Currency" xfId="1" builtinId="4"/>
    <cellStyle name="Normal" xfId="0" builtinId="0"/>
    <cellStyle name="Percent" xfId="2" builtinId="5"/>
  </cellStyles>
  <dxfs count="99">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_(* #,##0_);_(* \(#,##0\);_(*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34" formatCode="_(&quot;$&quot;* #,##0.00_);_(&quot;$&quot;* \(#,##0.00\);_(&quot;$&quot;* &quot;-&quot;??_);_(@_)"/>
    </dxf>
    <dxf>
      <numFmt numFmtId="34" formatCode="_(&quot;$&quot;* #,##0.00_);_(&quot;$&quot;* \(#,##0.00\);_(&quot;$&quot;* &quot;-&quot;??_);_(@_)"/>
    </dxf>
    <dxf>
      <numFmt numFmtId="166" formatCode="_(* #,##0_);_(* \(#,##0\);_(* &quot;-&quot;??_);_(@_)"/>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13" formatCode="0%"/>
    </dxf>
    <dxf>
      <numFmt numFmtId="166" formatCode="_(* #,##0_);_(* \(#,##0\);_(* &quot;-&quot;??_);_(@_)"/>
    </dxf>
    <dxf>
      <numFmt numFmtId="34" formatCode="_(&quot;$&quot;* #,##0.00_);_(&quot;$&quot;* \(#,##0.00\);_(&quot;$&quot;* &quot;-&quot;??_);_(@_)"/>
    </dxf>
    <dxf>
      <numFmt numFmtId="34" formatCode="_(&quot;$&quot;* #,##0.00_);_(&quot;$&quot;* \(#,##0.00\);_(&quot;$&quot;*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4" formatCode="0.00%"/>
    </dxf>
    <dxf>
      <numFmt numFmtId="14" formatCode="0.00%"/>
    </dxf>
    <dxf>
      <numFmt numFmtId="14" formatCode="0.00%"/>
    </dxf>
    <dxf>
      <numFmt numFmtId="14" formatCode="0.00%"/>
    </dxf>
    <dxf>
      <numFmt numFmtId="14" formatCode="0.00%"/>
    </dxf>
    <dxf>
      <numFmt numFmtId="14" formatCode="0.0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Order_Quantity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88888888888889"/>
              <c:y val="-1.388888888888888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222222222222127E-2"/>
              <c:y val="-1.851851851851860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222222222222127E-2"/>
              <c:y val="-1.851851851851860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88888888888889"/>
              <c:y val="-1.388888888888888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40000"/>
              <a:lumOff val="60000"/>
            </a:schemeClr>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layout>
            <c:manualLayout>
              <c:x val="9.7222222222222127E-2"/>
              <c:y val="-1.851851851851860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49090"/>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layout>
            <c:manualLayout>
              <c:x val="-0.11388888888888889"/>
              <c:y val="-1.388888888888888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40000"/>
              <a:lumOff val="60000"/>
            </a:schemeClr>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layout>
            <c:manualLayout>
              <c:x val="9.7222222222222127E-2"/>
              <c:y val="-1.851851851851860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49090"/>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layout>
            <c:manualLayout>
              <c:x val="-0.11388888888888889"/>
              <c:y val="-1.388888888888888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Table'!$F$40</c:f>
              <c:strCache>
                <c:ptCount val="1"/>
                <c:pt idx="0">
                  <c:v>Total</c:v>
                </c:pt>
              </c:strCache>
            </c:strRef>
          </c:tx>
          <c:spPr>
            <a:scene3d>
              <a:camera prst="orthographicFront"/>
              <a:lightRig rig="threePt" dir="t"/>
            </a:scene3d>
            <a:sp3d>
              <a:bevelT/>
            </a:sp3d>
          </c:spPr>
          <c:explosion val="34"/>
          <c:dPt>
            <c:idx val="0"/>
            <c:bubble3D val="0"/>
            <c:explosion val="1"/>
            <c:spPr>
              <a:solidFill>
                <a:schemeClr val="accent1">
                  <a:lumMod val="40000"/>
                  <a:lumOff val="60000"/>
                </a:schemeClr>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1-223C-4346-84D9-1AA76A791C31}"/>
              </c:ext>
            </c:extLst>
          </c:dPt>
          <c:dPt>
            <c:idx val="1"/>
            <c:bubble3D val="0"/>
            <c:explosion val="22"/>
            <c:spPr>
              <a:solidFill>
                <a:srgbClr val="F49090"/>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3-223C-4346-84D9-1AA76A791C31}"/>
              </c:ext>
            </c:extLst>
          </c:dPt>
          <c:dLbls>
            <c:dLbl>
              <c:idx val="0"/>
              <c:layout>
                <c:manualLayout>
                  <c:x val="9.7222222222222127E-2"/>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3C-4346-84D9-1AA76A791C31}"/>
                </c:ext>
              </c:extLst>
            </c:dLbl>
            <c:dLbl>
              <c:idx val="1"/>
              <c:layout>
                <c:manualLayout>
                  <c:x val="-0.11388888888888889"/>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3C-4346-84D9-1AA76A791C31}"/>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Table'!$E$41:$E$43</c:f>
              <c:strCache>
                <c:ptCount val="2"/>
                <c:pt idx="0">
                  <c:v>F</c:v>
                </c:pt>
                <c:pt idx="1">
                  <c:v>M</c:v>
                </c:pt>
              </c:strCache>
            </c:strRef>
          </c:cat>
          <c:val>
            <c:numRef>
              <c:f>'Pivot Table'!$F$41:$F$43</c:f>
              <c:numCache>
                <c:formatCode>_(* #,##0_);_(* \(#,##0\);_(* "-"??_);_(@_)</c:formatCode>
                <c:ptCount val="2"/>
                <c:pt idx="0">
                  <c:v>386</c:v>
                </c:pt>
                <c:pt idx="1">
                  <c:v>366</c:v>
                </c:pt>
              </c:numCache>
            </c:numRef>
          </c:val>
          <c:extLst>
            <c:ext xmlns:c16="http://schemas.microsoft.com/office/drawing/2014/chart" uri="{C3380CC4-5D6E-409C-BE32-E72D297353CC}">
              <c16:uniqueId val="{00000004-223C-4346-84D9-1AA76A791C3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0039807524059592E-2"/>
              <c:y val="7.6354257801108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0039807524059592E-2"/>
              <c:y val="7.6354257801108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8.0039807524059592E-2"/>
              <c:y val="7.63542578011081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a:sp3d>
          </c:spPr>
        </c:marker>
        <c:dLbl>
          <c:idx val="0"/>
          <c:layout>
            <c:manualLayout>
              <c:x val="-8.0039807524059592E-2"/>
              <c:y val="7.63542578011081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a:sp3d>
            </c:spPr>
          </c:marker>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a:sp3d>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3A-4D2C-9958-68EB5990B6B6}"/>
              </c:ext>
            </c:extLst>
          </c:dPt>
          <c:dLbls>
            <c:dLbl>
              <c:idx val="2"/>
              <c:layout>
                <c:manualLayout>
                  <c:x val="-8.0039807524059592E-2"/>
                  <c:y val="7.6354257801108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3A-4D2C-9958-68EB5990B6B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Table'!$B$3:$B$6</c:f>
              <c:strCache>
                <c:ptCount val="3"/>
                <c:pt idx="0">
                  <c:v>Oct</c:v>
                </c:pt>
                <c:pt idx="1">
                  <c:v>Nov</c:v>
                </c:pt>
                <c:pt idx="2">
                  <c:v>Dec</c:v>
                </c:pt>
              </c:strCache>
            </c:strRef>
          </c:cat>
          <c:val>
            <c:numRef>
              <c:f>'Pivot Table'!$C$3:$C$6</c:f>
              <c:numCache>
                <c:formatCode>_("$"* #,##0.00_);_("$"* \(#,##0.00\);_("$"* "-"??_);_(@_)</c:formatCode>
                <c:ptCount val="3"/>
                <c:pt idx="0">
                  <c:v>429770</c:v>
                </c:pt>
                <c:pt idx="1">
                  <c:v>352760</c:v>
                </c:pt>
                <c:pt idx="2">
                  <c:v>626970</c:v>
                </c:pt>
              </c:numCache>
            </c:numRef>
          </c:val>
          <c:smooth val="0"/>
          <c:extLst>
            <c:ext xmlns:c16="http://schemas.microsoft.com/office/drawing/2014/chart" uri="{C3380CC4-5D6E-409C-BE32-E72D297353CC}">
              <c16:uniqueId val="{00000002-B33A-4D2C-9958-68EB5990B6B6}"/>
            </c:ext>
          </c:extLst>
        </c:ser>
        <c:dLbls>
          <c:dLblPos val="b"/>
          <c:showLegendKey val="0"/>
          <c:showVal val="1"/>
          <c:showCatName val="0"/>
          <c:showSerName val="0"/>
          <c:showPercent val="0"/>
          <c:showBubbleSize val="0"/>
        </c:dLbls>
        <c:marker val="1"/>
        <c:smooth val="0"/>
        <c:axId val="1885727167"/>
        <c:axId val="1885727647"/>
      </c:lineChart>
      <c:catAx>
        <c:axId val="18857271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727647"/>
        <c:crosses val="autoZero"/>
        <c:auto val="1"/>
        <c:lblAlgn val="ctr"/>
        <c:lblOffset val="100"/>
        <c:noMultiLvlLbl val="0"/>
      </c:catAx>
      <c:valAx>
        <c:axId val="1885727647"/>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7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Country </a:t>
            </a:r>
            <a:r>
              <a:rPr lang="en-US"/>
              <a:t>Revenue By</a:t>
            </a:r>
            <a:r>
              <a:rPr lang="en-US" baseline="0"/>
              <a:t> Color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1"/>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Table'!$C$45:$C$46</c:f>
              <c:strCache>
                <c:ptCount val="1"/>
                <c:pt idx="0">
                  <c:v>Black</c:v>
                </c:pt>
              </c:strCache>
            </c:strRef>
          </c:tx>
          <c:spPr>
            <a:solidFill>
              <a:schemeClr val="tx1"/>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cat>
            <c:strRef>
              <c:f>'Pivot Table'!$B$47:$B$53</c:f>
              <c:strCache>
                <c:ptCount val="6"/>
                <c:pt idx="0">
                  <c:v>Australia</c:v>
                </c:pt>
                <c:pt idx="1">
                  <c:v>Canada</c:v>
                </c:pt>
                <c:pt idx="2">
                  <c:v>France</c:v>
                </c:pt>
                <c:pt idx="3">
                  <c:v>Germany</c:v>
                </c:pt>
                <c:pt idx="4">
                  <c:v>United Kingdom</c:v>
                </c:pt>
                <c:pt idx="5">
                  <c:v>United States</c:v>
                </c:pt>
              </c:strCache>
            </c:strRef>
          </c:cat>
          <c:val>
            <c:numRef>
              <c:f>'Pivot Table'!$C$47:$C$53</c:f>
              <c:numCache>
                <c:formatCode>_("$"* #,##0.00_);_("$"* \(#,##0.00\);_("$"* "-"??_);_(@_)</c:formatCode>
                <c:ptCount val="6"/>
                <c:pt idx="0">
                  <c:v>234920</c:v>
                </c:pt>
                <c:pt idx="1">
                  <c:v>40040</c:v>
                </c:pt>
                <c:pt idx="2">
                  <c:v>49160</c:v>
                </c:pt>
                <c:pt idx="3">
                  <c:v>53300</c:v>
                </c:pt>
                <c:pt idx="4">
                  <c:v>77620</c:v>
                </c:pt>
                <c:pt idx="5">
                  <c:v>122750</c:v>
                </c:pt>
              </c:numCache>
            </c:numRef>
          </c:val>
          <c:extLst>
            <c:ext xmlns:c16="http://schemas.microsoft.com/office/drawing/2014/chart" uri="{C3380CC4-5D6E-409C-BE32-E72D297353CC}">
              <c16:uniqueId val="{00000000-028E-444E-B391-4E2281785357}"/>
            </c:ext>
          </c:extLst>
        </c:ser>
        <c:ser>
          <c:idx val="1"/>
          <c:order val="1"/>
          <c:tx>
            <c:strRef>
              <c:f>'Pivot Table'!$D$45:$D$46</c:f>
              <c:strCache>
                <c:ptCount val="1"/>
                <c:pt idx="0">
                  <c:v>Red</c:v>
                </c:pt>
              </c:strCache>
            </c:strRef>
          </c:tx>
          <c:spPr>
            <a:solidFill>
              <a:srgbClr val="FF0000"/>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cat>
            <c:strRef>
              <c:f>'Pivot Table'!$B$47:$B$53</c:f>
              <c:strCache>
                <c:ptCount val="6"/>
                <c:pt idx="0">
                  <c:v>Australia</c:v>
                </c:pt>
                <c:pt idx="1">
                  <c:v>Canada</c:v>
                </c:pt>
                <c:pt idx="2">
                  <c:v>France</c:v>
                </c:pt>
                <c:pt idx="3">
                  <c:v>Germany</c:v>
                </c:pt>
                <c:pt idx="4">
                  <c:v>United Kingdom</c:v>
                </c:pt>
                <c:pt idx="5">
                  <c:v>United States</c:v>
                </c:pt>
              </c:strCache>
            </c:strRef>
          </c:cat>
          <c:val>
            <c:numRef>
              <c:f>'Pivot Table'!$D$47:$D$53</c:f>
              <c:numCache>
                <c:formatCode>_("$"* #,##0.00_);_("$"* \(#,##0.00\);_("$"* "-"??_);_(@_)</c:formatCode>
                <c:ptCount val="6"/>
                <c:pt idx="0">
                  <c:v>85520</c:v>
                </c:pt>
                <c:pt idx="1">
                  <c:v>22770</c:v>
                </c:pt>
                <c:pt idx="2">
                  <c:v>79040</c:v>
                </c:pt>
                <c:pt idx="3">
                  <c:v>53460</c:v>
                </c:pt>
                <c:pt idx="4">
                  <c:v>40040</c:v>
                </c:pt>
                <c:pt idx="5">
                  <c:v>99860</c:v>
                </c:pt>
              </c:numCache>
            </c:numRef>
          </c:val>
          <c:extLst>
            <c:ext xmlns:c16="http://schemas.microsoft.com/office/drawing/2014/chart" uri="{C3380CC4-5D6E-409C-BE32-E72D297353CC}">
              <c16:uniqueId val="{00000001-028E-444E-B391-4E2281785357}"/>
            </c:ext>
          </c:extLst>
        </c:ser>
        <c:ser>
          <c:idx val="2"/>
          <c:order val="2"/>
          <c:tx>
            <c:strRef>
              <c:f>'Pivot Table'!$E$45:$E$46</c:f>
              <c:strCache>
                <c:ptCount val="1"/>
                <c:pt idx="0">
                  <c:v>Silver</c:v>
                </c:pt>
              </c:strCache>
            </c:strRef>
          </c:tx>
          <c:spPr>
            <a:solidFill>
              <a:schemeClr val="bg2"/>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cat>
            <c:strRef>
              <c:f>'Pivot Table'!$B$47:$B$53</c:f>
              <c:strCache>
                <c:ptCount val="6"/>
                <c:pt idx="0">
                  <c:v>Australia</c:v>
                </c:pt>
                <c:pt idx="1">
                  <c:v>Canada</c:v>
                </c:pt>
                <c:pt idx="2">
                  <c:v>France</c:v>
                </c:pt>
                <c:pt idx="3">
                  <c:v>Germany</c:v>
                </c:pt>
                <c:pt idx="4">
                  <c:v>United Kingdom</c:v>
                </c:pt>
                <c:pt idx="5">
                  <c:v>United States</c:v>
                </c:pt>
              </c:strCache>
            </c:strRef>
          </c:cat>
          <c:val>
            <c:numRef>
              <c:f>'Pivot Table'!$E$47:$E$53</c:f>
              <c:numCache>
                <c:formatCode>_("$"* #,##0.00_);_("$"* \(#,##0.00\);_("$"* "-"??_);_(@_)</c:formatCode>
                <c:ptCount val="6"/>
                <c:pt idx="0">
                  <c:v>65490</c:v>
                </c:pt>
                <c:pt idx="1">
                  <c:v>4250</c:v>
                </c:pt>
                <c:pt idx="2">
                  <c:v>18180</c:v>
                </c:pt>
                <c:pt idx="3">
                  <c:v>20270</c:v>
                </c:pt>
                <c:pt idx="4">
                  <c:v>19680</c:v>
                </c:pt>
                <c:pt idx="5">
                  <c:v>63910</c:v>
                </c:pt>
              </c:numCache>
            </c:numRef>
          </c:val>
          <c:extLst>
            <c:ext xmlns:c16="http://schemas.microsoft.com/office/drawing/2014/chart" uri="{C3380CC4-5D6E-409C-BE32-E72D297353CC}">
              <c16:uniqueId val="{00000002-028E-444E-B391-4E2281785357}"/>
            </c:ext>
          </c:extLst>
        </c:ser>
        <c:ser>
          <c:idx val="3"/>
          <c:order val="3"/>
          <c:tx>
            <c:strRef>
              <c:f>'Pivot Table'!$F$45:$F$46</c:f>
              <c:strCache>
                <c:ptCount val="1"/>
                <c:pt idx="0">
                  <c:v>Yellow</c:v>
                </c:pt>
              </c:strCache>
            </c:strRef>
          </c:tx>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cat>
            <c:strRef>
              <c:f>'Pivot Table'!$B$47:$B$53</c:f>
              <c:strCache>
                <c:ptCount val="6"/>
                <c:pt idx="0">
                  <c:v>Australia</c:v>
                </c:pt>
                <c:pt idx="1">
                  <c:v>Canada</c:v>
                </c:pt>
                <c:pt idx="2">
                  <c:v>France</c:v>
                </c:pt>
                <c:pt idx="3">
                  <c:v>Germany</c:v>
                </c:pt>
                <c:pt idx="4">
                  <c:v>United Kingdom</c:v>
                </c:pt>
                <c:pt idx="5">
                  <c:v>United States</c:v>
                </c:pt>
              </c:strCache>
            </c:strRef>
          </c:cat>
          <c:val>
            <c:numRef>
              <c:f>'Pivot Table'!$F$47:$F$53</c:f>
              <c:numCache>
                <c:formatCode>_("$"* #,##0.00_);_("$"* \(#,##0.00\);_("$"* "-"??_);_(@_)</c:formatCode>
                <c:ptCount val="6"/>
                <c:pt idx="0">
                  <c:v>125120</c:v>
                </c:pt>
                <c:pt idx="1">
                  <c:v>4040</c:v>
                </c:pt>
                <c:pt idx="2">
                  <c:v>29480</c:v>
                </c:pt>
                <c:pt idx="3">
                  <c:v>21320</c:v>
                </c:pt>
                <c:pt idx="4">
                  <c:v>34720</c:v>
                </c:pt>
                <c:pt idx="5">
                  <c:v>44560</c:v>
                </c:pt>
              </c:numCache>
            </c:numRef>
          </c:val>
          <c:extLst>
            <c:ext xmlns:c16="http://schemas.microsoft.com/office/drawing/2014/chart" uri="{C3380CC4-5D6E-409C-BE32-E72D297353CC}">
              <c16:uniqueId val="{00000003-028E-444E-B391-4E2281785357}"/>
            </c:ext>
          </c:extLst>
        </c:ser>
        <c:dLbls>
          <c:showLegendKey val="0"/>
          <c:showVal val="0"/>
          <c:showCatName val="0"/>
          <c:showSerName val="0"/>
          <c:showPercent val="0"/>
          <c:showBubbleSize val="0"/>
        </c:dLbls>
        <c:gapWidth val="115"/>
        <c:overlap val="-20"/>
        <c:axId val="1743440255"/>
        <c:axId val="1743441215"/>
      </c:barChart>
      <c:catAx>
        <c:axId val="17434402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3441215"/>
        <c:crosses val="autoZero"/>
        <c:auto val="1"/>
        <c:lblAlgn val="ctr"/>
        <c:lblOffset val="100"/>
        <c:noMultiLvlLbl val="0"/>
      </c:catAx>
      <c:valAx>
        <c:axId val="1743441215"/>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344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Bike_Color By</a:t>
            </a:r>
            <a:r>
              <a:rPr lang="en-US" baseline="0"/>
              <a:t> Age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Table'!$J$12:$J$13</c:f>
              <c:strCache>
                <c:ptCount val="1"/>
                <c:pt idx="0">
                  <c:v>Mountain Bikes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cat>
            <c:strRef>
              <c:f>'Pivot Table'!$I$14:$I$19</c:f>
              <c:strCache>
                <c:ptCount val="5"/>
                <c:pt idx="0">
                  <c:v>25-34</c:v>
                </c:pt>
                <c:pt idx="1">
                  <c:v>35-44</c:v>
                </c:pt>
                <c:pt idx="2">
                  <c:v>45-54</c:v>
                </c:pt>
                <c:pt idx="3">
                  <c:v>55+</c:v>
                </c:pt>
                <c:pt idx="4">
                  <c:v>Under 25</c:v>
                </c:pt>
              </c:strCache>
            </c:strRef>
          </c:cat>
          <c:val>
            <c:numRef>
              <c:f>'Pivot Table'!$J$14:$J$19</c:f>
              <c:numCache>
                <c:formatCode>_(* #,##0_);_(* \(#,##0\);_(* "-"??_);_(@_)</c:formatCode>
                <c:ptCount val="5"/>
                <c:pt idx="0">
                  <c:v>96</c:v>
                </c:pt>
                <c:pt idx="1">
                  <c:v>79</c:v>
                </c:pt>
                <c:pt idx="2">
                  <c:v>32</c:v>
                </c:pt>
                <c:pt idx="3">
                  <c:v>3</c:v>
                </c:pt>
                <c:pt idx="4">
                  <c:v>22</c:v>
                </c:pt>
              </c:numCache>
            </c:numRef>
          </c:val>
          <c:extLst>
            <c:ext xmlns:c16="http://schemas.microsoft.com/office/drawing/2014/chart" uri="{C3380CC4-5D6E-409C-BE32-E72D297353CC}">
              <c16:uniqueId val="{00000000-CAAD-4409-8DC4-49D1F3F57ABE}"/>
            </c:ext>
          </c:extLst>
        </c:ser>
        <c:ser>
          <c:idx val="1"/>
          <c:order val="1"/>
          <c:tx>
            <c:strRef>
              <c:f>'Pivot Table'!$K$12:$K$13</c:f>
              <c:strCache>
                <c:ptCount val="1"/>
                <c:pt idx="0">
                  <c:v>Road Bikes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invertIfNegative val="0"/>
          <c:cat>
            <c:strRef>
              <c:f>'Pivot Table'!$I$14:$I$19</c:f>
              <c:strCache>
                <c:ptCount val="5"/>
                <c:pt idx="0">
                  <c:v>25-34</c:v>
                </c:pt>
                <c:pt idx="1">
                  <c:v>35-44</c:v>
                </c:pt>
                <c:pt idx="2">
                  <c:v>45-54</c:v>
                </c:pt>
                <c:pt idx="3">
                  <c:v>55+</c:v>
                </c:pt>
                <c:pt idx="4">
                  <c:v>Under 25</c:v>
                </c:pt>
              </c:strCache>
            </c:strRef>
          </c:cat>
          <c:val>
            <c:numRef>
              <c:f>'Pivot Table'!$K$14:$K$19</c:f>
              <c:numCache>
                <c:formatCode>_(* #,##0_);_(* \(#,##0\);_(* "-"??_);_(@_)</c:formatCode>
                <c:ptCount val="5"/>
                <c:pt idx="0">
                  <c:v>182</c:v>
                </c:pt>
                <c:pt idx="1">
                  <c:v>149</c:v>
                </c:pt>
                <c:pt idx="2">
                  <c:v>69</c:v>
                </c:pt>
                <c:pt idx="3">
                  <c:v>32</c:v>
                </c:pt>
                <c:pt idx="4">
                  <c:v>88</c:v>
                </c:pt>
              </c:numCache>
            </c:numRef>
          </c:val>
          <c:extLst>
            <c:ext xmlns:c16="http://schemas.microsoft.com/office/drawing/2014/chart" uri="{C3380CC4-5D6E-409C-BE32-E72D297353CC}">
              <c16:uniqueId val="{00000001-CAAD-4409-8DC4-49D1F3F57ABE}"/>
            </c:ext>
          </c:extLst>
        </c:ser>
        <c:dLbls>
          <c:showLegendKey val="0"/>
          <c:showVal val="0"/>
          <c:showCatName val="0"/>
          <c:showSerName val="0"/>
          <c:showPercent val="0"/>
          <c:showBubbleSize val="0"/>
        </c:dLbls>
        <c:gapWidth val="100"/>
        <c:overlap val="-24"/>
        <c:axId val="1955443679"/>
        <c:axId val="1955451359"/>
      </c:barChart>
      <c:catAx>
        <c:axId val="195544367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451359"/>
        <c:crosses val="autoZero"/>
        <c:auto val="1"/>
        <c:lblAlgn val="ctr"/>
        <c:lblOffset val="100"/>
        <c:noMultiLvlLbl val="0"/>
      </c:catAx>
      <c:valAx>
        <c:axId val="1955451359"/>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44367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Table'!$N$10:$N$13</c:f>
              <c:strCache>
                <c:ptCount val="3"/>
                <c:pt idx="0">
                  <c:v>Oct</c:v>
                </c:pt>
                <c:pt idx="1">
                  <c:v>Nov</c:v>
                </c:pt>
                <c:pt idx="2">
                  <c:v>Dec</c:v>
                </c:pt>
              </c:strCache>
            </c:strRef>
          </c:cat>
          <c:val>
            <c:numRef>
              <c:f>'Pivot Table'!$O$10:$O$13</c:f>
              <c:numCache>
                <c:formatCode>_("$"* #,##0.00_);_("$"* \(#,##0.00\);_("$"* "-"??_);_(@_)</c:formatCode>
                <c:ptCount val="3"/>
                <c:pt idx="0">
                  <c:v>157010</c:v>
                </c:pt>
                <c:pt idx="1">
                  <c:v>128580</c:v>
                </c:pt>
                <c:pt idx="2">
                  <c:v>227870</c:v>
                </c:pt>
              </c:numCache>
            </c:numRef>
          </c:val>
          <c:smooth val="0"/>
          <c:extLst>
            <c:ext xmlns:c16="http://schemas.microsoft.com/office/drawing/2014/chart" uri="{C3380CC4-5D6E-409C-BE32-E72D297353CC}">
              <c16:uniqueId val="{00000000-D3FA-4EC9-AC99-377625CDEBEC}"/>
            </c:ext>
          </c:extLst>
        </c:ser>
        <c:dLbls>
          <c:dLblPos val="b"/>
          <c:showLegendKey val="0"/>
          <c:showVal val="1"/>
          <c:showCatName val="0"/>
          <c:showSerName val="0"/>
          <c:showPercent val="0"/>
          <c:showBubbleSize val="0"/>
        </c:dLbls>
        <c:marker val="1"/>
        <c:smooth val="0"/>
        <c:axId val="2046911375"/>
        <c:axId val="2046908495"/>
      </c:lineChart>
      <c:catAx>
        <c:axId val="2046911375"/>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908495"/>
        <c:crosses val="autoZero"/>
        <c:auto val="1"/>
        <c:lblAlgn val="ctr"/>
        <c:lblOffset val="100"/>
        <c:noMultiLvlLbl val="0"/>
      </c:catAx>
      <c:valAx>
        <c:axId val="204690849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91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Total_Cost</a:t>
            </a:r>
          </a:p>
        </c:rich>
      </c:tx>
      <c:layout>
        <c:manualLayout>
          <c:xMode val="edge"/>
          <c:yMode val="edge"/>
          <c:x val="0.40478704525370335"/>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2">
              <a:lumMod val="75000"/>
              <a:lumOff val="25000"/>
            </a:schemeClr>
          </a:solidFill>
          <a:ln>
            <a:noFill/>
          </a:ln>
          <a:effectLst>
            <a:outerShdw blurRad="57150" dist="19050" dir="5400000" algn="ctr" rotWithShape="0">
              <a:srgbClr val="000000">
                <a:alpha val="63000"/>
              </a:srgbClr>
            </a:outerShdw>
          </a:effectLst>
          <a:sp3d/>
        </c:spPr>
      </c:pivotFmt>
      <c:pivotFmt>
        <c:idx val="9"/>
        <c:spPr>
          <a:solidFill>
            <a:schemeClr val="tx2">
              <a:lumMod val="90000"/>
              <a:lumOff val="10000"/>
            </a:schemeClr>
          </a:solidFill>
          <a:ln>
            <a:noFill/>
          </a:ln>
          <a:effectLst>
            <a:outerShdw blurRad="57150" dist="19050" dir="5400000" algn="ctr" rotWithShape="0">
              <a:srgbClr val="000000">
                <a:alpha val="63000"/>
              </a:srgbClr>
            </a:outerShdw>
          </a:effectLst>
          <a:sp3d/>
        </c:spPr>
      </c:pivotFmt>
      <c:pivotFmt>
        <c:idx val="10"/>
        <c:spPr>
          <a:solidFill>
            <a:schemeClr val="tx2">
              <a:lumMod val="10000"/>
              <a:lumOff val="90000"/>
            </a:schemeClr>
          </a:solidFill>
          <a:ln>
            <a:noFill/>
          </a:ln>
          <a:effectLst>
            <a:outerShdw blurRad="57150" dist="19050" dir="5400000" algn="ctr" rotWithShape="0">
              <a:srgbClr val="000000">
                <a:alpha val="63000"/>
              </a:srgbClr>
            </a:outerShdw>
          </a:effectLst>
          <a:sp3d/>
        </c:spPr>
      </c:pivotFmt>
      <c:pivotFmt>
        <c:idx val="11"/>
        <c:spPr>
          <a:solidFill>
            <a:schemeClr val="tx2">
              <a:lumMod val="25000"/>
              <a:lumOff val="75000"/>
            </a:schemeClr>
          </a:solidFill>
          <a:ln>
            <a:noFill/>
          </a:ln>
          <a:effectLst>
            <a:outerShdw blurRad="57150" dist="19050" dir="5400000" algn="ctr" rotWithShape="0">
              <a:srgbClr val="000000">
                <a:alpha val="63000"/>
              </a:srgbClr>
            </a:outerShdw>
          </a:effectLst>
          <a:sp3d/>
        </c:spPr>
      </c:pivotFmt>
      <c:pivotFmt>
        <c:idx val="12"/>
        <c:spPr>
          <a:solidFill>
            <a:schemeClr val="tx2">
              <a:lumMod val="50000"/>
              <a:lumOff val="50000"/>
            </a:schemeClr>
          </a:soli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tx2">
              <a:lumMod val="75000"/>
              <a:lumOff val="25000"/>
            </a:schemeClr>
          </a:solidFill>
          <a:ln>
            <a:noFill/>
          </a:ln>
          <a:effectLst>
            <a:outerShdw blurRad="57150" dist="19050" dir="5400000" algn="ctr" rotWithShape="0">
              <a:srgbClr val="000000">
                <a:alpha val="63000"/>
              </a:srgbClr>
            </a:outerShdw>
          </a:effectLst>
          <a:sp3d/>
        </c:spPr>
      </c:pivotFmt>
      <c:pivotFmt>
        <c:idx val="15"/>
        <c:spPr>
          <a:solidFill>
            <a:schemeClr val="tx2">
              <a:lumMod val="90000"/>
              <a:lumOff val="10000"/>
            </a:schemeClr>
          </a:solidFill>
          <a:ln>
            <a:noFill/>
          </a:ln>
          <a:effectLst>
            <a:outerShdw blurRad="57150" dist="19050" dir="5400000" algn="ctr" rotWithShape="0">
              <a:srgbClr val="000000">
                <a:alpha val="63000"/>
              </a:srgbClr>
            </a:outerShdw>
          </a:effectLst>
          <a:sp3d/>
        </c:spPr>
      </c:pivotFmt>
      <c:pivotFmt>
        <c:idx val="16"/>
        <c:spPr>
          <a:solidFill>
            <a:schemeClr val="tx2">
              <a:lumMod val="10000"/>
              <a:lumOff val="90000"/>
            </a:schemeClr>
          </a:solidFill>
          <a:ln>
            <a:noFill/>
          </a:ln>
          <a:effectLst>
            <a:outerShdw blurRad="57150" dist="19050" dir="5400000" algn="ctr" rotWithShape="0">
              <a:srgbClr val="000000">
                <a:alpha val="63000"/>
              </a:srgbClr>
            </a:outerShdw>
          </a:effectLst>
          <a:sp3d/>
        </c:spPr>
      </c:pivotFmt>
      <c:pivotFmt>
        <c:idx val="17"/>
        <c:spPr>
          <a:solidFill>
            <a:schemeClr val="tx2">
              <a:lumMod val="25000"/>
              <a:lumOff val="75000"/>
            </a:schemeClr>
          </a:solidFill>
          <a:ln>
            <a:noFill/>
          </a:ln>
          <a:effectLst>
            <a:outerShdw blurRad="57150" dist="19050" dir="5400000" algn="ctr" rotWithShape="0">
              <a:srgbClr val="000000">
                <a:alpha val="63000"/>
              </a:srgbClr>
            </a:outerShdw>
          </a:effectLst>
          <a:sp3d/>
        </c:spPr>
      </c:pivotFmt>
      <c:pivotFmt>
        <c:idx val="18"/>
        <c:spPr>
          <a:solidFill>
            <a:schemeClr val="tx2">
              <a:lumMod val="50000"/>
              <a:lumOff val="50000"/>
            </a:schemeClr>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310800986098503E-2"/>
          <c:y val="0.22801655001458151"/>
          <c:w val="0.82337839802780299"/>
          <c:h val="0.65755504520268304"/>
        </c:manualLayout>
      </c:layout>
      <c:pie3DChart>
        <c:varyColors val="1"/>
        <c:ser>
          <c:idx val="0"/>
          <c:order val="0"/>
          <c:tx>
            <c:strRef>
              <c:f>'Pivot Table'!$J$41</c:f>
              <c:strCache>
                <c:ptCount val="1"/>
                <c:pt idx="0">
                  <c:v>Total</c:v>
                </c:pt>
              </c:strCache>
            </c:strRef>
          </c:tx>
          <c:dPt>
            <c:idx val="0"/>
            <c:bubble3D val="0"/>
            <c:explosion val="2"/>
            <c:spPr>
              <a:solidFill>
                <a:schemeClr val="tx2">
                  <a:lumMod val="75000"/>
                  <a:lumOff val="2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6F5-4459-9431-A8E797900545}"/>
              </c:ext>
            </c:extLst>
          </c:dPt>
          <c:dPt>
            <c:idx val="1"/>
            <c:bubble3D val="0"/>
            <c:explosion val="23"/>
            <c:spPr>
              <a:solidFill>
                <a:schemeClr val="tx2">
                  <a:lumMod val="90000"/>
                  <a:lumOff val="1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6F5-4459-9431-A8E797900545}"/>
              </c:ext>
            </c:extLst>
          </c:dPt>
          <c:dPt>
            <c:idx val="2"/>
            <c:bubble3D val="0"/>
            <c:explosion val="17"/>
            <c:spPr>
              <a:solidFill>
                <a:schemeClr val="tx2">
                  <a:lumMod val="10000"/>
                  <a:lumOff val="9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6F5-4459-9431-A8E797900545}"/>
              </c:ext>
            </c:extLst>
          </c:dPt>
          <c:dPt>
            <c:idx val="3"/>
            <c:bubble3D val="0"/>
            <c:explosion val="14"/>
            <c:spPr>
              <a:solidFill>
                <a:schemeClr val="tx2">
                  <a:lumMod val="25000"/>
                  <a:lumOff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6F5-4459-9431-A8E797900545}"/>
              </c:ext>
            </c:extLst>
          </c:dPt>
          <c:dPt>
            <c:idx val="4"/>
            <c:bubble3D val="0"/>
            <c:explosion val="15"/>
            <c:spPr>
              <a:solidFill>
                <a:schemeClr val="tx2">
                  <a:lumMod val="50000"/>
                  <a:lumOff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6F5-4459-9431-A8E79790054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Table'!$I$42:$I$47</c:f>
              <c:strCache>
                <c:ptCount val="5"/>
                <c:pt idx="0">
                  <c:v>25-34</c:v>
                </c:pt>
                <c:pt idx="1">
                  <c:v>35-44</c:v>
                </c:pt>
                <c:pt idx="2">
                  <c:v>45-54</c:v>
                </c:pt>
                <c:pt idx="3">
                  <c:v>55+</c:v>
                </c:pt>
                <c:pt idx="4">
                  <c:v>Under 25</c:v>
                </c:pt>
              </c:strCache>
            </c:strRef>
          </c:cat>
          <c:val>
            <c:numRef>
              <c:f>'Pivot Table'!$J$42:$J$47</c:f>
              <c:numCache>
                <c:formatCode>_("$"* #,##0.00_);_("$"* \(#,##0.00\);_("$"* "-"??_);_(@_)</c:formatCode>
                <c:ptCount val="5"/>
                <c:pt idx="0">
                  <c:v>326290</c:v>
                </c:pt>
                <c:pt idx="1">
                  <c:v>269470</c:v>
                </c:pt>
                <c:pt idx="2">
                  <c:v>114040</c:v>
                </c:pt>
                <c:pt idx="3">
                  <c:v>47390</c:v>
                </c:pt>
                <c:pt idx="4">
                  <c:v>138850</c:v>
                </c:pt>
              </c:numCache>
            </c:numRef>
          </c:val>
          <c:extLst>
            <c:ext xmlns:c16="http://schemas.microsoft.com/office/drawing/2014/chart" uri="{C3380CC4-5D6E-409C-BE32-E72D297353CC}">
              <c16:uniqueId val="{0000000A-C6F5-4459-9431-A8E79790054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layout>
            <c:manualLayout>
              <c:x val="-1.1292139278250318E-16"/>
              <c:y val="1.7171714895448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layout>
            <c:manualLayout>
              <c:x val="-1.1292139278250318E-16"/>
              <c:y val="1.7171714895448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1-8F25-40E5-B939-65D3155DE81A}"/>
              </c:ext>
            </c:extLst>
          </c:dPt>
          <c:dLbls>
            <c:dLbl>
              <c:idx val="3"/>
              <c:layout>
                <c:manualLayout>
                  <c:x val="-1.1292139278250318E-16"/>
                  <c:y val="1.71717148954485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25-40E5-B939-65D3155DE8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Table'!$L$43:$L$49</c:f>
              <c:strCache>
                <c:ptCount val="6"/>
                <c:pt idx="0">
                  <c:v>Australia</c:v>
                </c:pt>
                <c:pt idx="1">
                  <c:v>Canada</c:v>
                </c:pt>
                <c:pt idx="2">
                  <c:v>France</c:v>
                </c:pt>
                <c:pt idx="3">
                  <c:v>Germany</c:v>
                </c:pt>
                <c:pt idx="4">
                  <c:v>United Kingdom</c:v>
                </c:pt>
                <c:pt idx="5">
                  <c:v>United States</c:v>
                </c:pt>
              </c:strCache>
            </c:strRef>
          </c:cat>
          <c:val>
            <c:numRef>
              <c:f>'Pivot Table'!$M$43:$M$49</c:f>
              <c:numCache>
                <c:formatCode>_("$"* #,##0.00_);_("$"* \(#,##0.00\);_("$"* "-"??_);_(@_)</c:formatCode>
                <c:ptCount val="6"/>
                <c:pt idx="0">
                  <c:v>511050</c:v>
                </c:pt>
                <c:pt idx="1">
                  <c:v>71100</c:v>
                </c:pt>
                <c:pt idx="2">
                  <c:v>175860</c:v>
                </c:pt>
                <c:pt idx="3">
                  <c:v>148350</c:v>
                </c:pt>
                <c:pt idx="4">
                  <c:v>172060</c:v>
                </c:pt>
                <c:pt idx="5">
                  <c:v>331080</c:v>
                </c:pt>
              </c:numCache>
            </c:numRef>
          </c:val>
          <c:extLst>
            <c:ext xmlns:c16="http://schemas.microsoft.com/office/drawing/2014/chart" uri="{C3380CC4-5D6E-409C-BE32-E72D297353CC}">
              <c16:uniqueId val="{00000002-8F25-40E5-B939-65D3155DE81A}"/>
            </c:ext>
          </c:extLst>
        </c:ser>
        <c:dLbls>
          <c:dLblPos val="outEnd"/>
          <c:showLegendKey val="0"/>
          <c:showVal val="1"/>
          <c:showCatName val="0"/>
          <c:showSerName val="0"/>
          <c:showPercent val="0"/>
          <c:showBubbleSize val="0"/>
        </c:dLbls>
        <c:gapWidth val="100"/>
        <c:overlap val="-24"/>
        <c:axId val="2046898895"/>
        <c:axId val="2046882575"/>
      </c:barChart>
      <c:catAx>
        <c:axId val="2046898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882575"/>
        <c:crosses val="autoZero"/>
        <c:auto val="1"/>
        <c:lblAlgn val="ctr"/>
        <c:lblOffset val="100"/>
        <c:noMultiLvlLbl val="0"/>
      </c:catAx>
      <c:valAx>
        <c:axId val="204688257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89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Table'!$B$34:$B$40</c:f>
              <c:strCache>
                <c:ptCount val="6"/>
                <c:pt idx="0">
                  <c:v>Australia</c:v>
                </c:pt>
                <c:pt idx="1">
                  <c:v>Canada</c:v>
                </c:pt>
                <c:pt idx="2">
                  <c:v>France</c:v>
                </c:pt>
                <c:pt idx="3">
                  <c:v>Germany</c:v>
                </c:pt>
                <c:pt idx="4">
                  <c:v>United Kingdom</c:v>
                </c:pt>
                <c:pt idx="5">
                  <c:v>United States</c:v>
                </c:pt>
              </c:strCache>
            </c:strRef>
          </c:cat>
          <c:val>
            <c:numRef>
              <c:f>'Pivot Table'!$C$34:$C$40</c:f>
              <c:numCache>
                <c:formatCode>_("$"* #,##0.00_);_("$"* \(#,##0.00\);_("$"* "-"??_);_(@_)</c:formatCode>
                <c:ptCount val="6"/>
                <c:pt idx="0">
                  <c:v>186410</c:v>
                </c:pt>
                <c:pt idx="1">
                  <c:v>25920</c:v>
                </c:pt>
                <c:pt idx="2">
                  <c:v>63750</c:v>
                </c:pt>
                <c:pt idx="3">
                  <c:v>54320</c:v>
                </c:pt>
                <c:pt idx="4">
                  <c:v>62640</c:v>
                </c:pt>
                <c:pt idx="5">
                  <c:v>120420</c:v>
                </c:pt>
              </c:numCache>
            </c:numRef>
          </c:val>
          <c:extLst>
            <c:ext xmlns:c16="http://schemas.microsoft.com/office/drawing/2014/chart" uri="{C3380CC4-5D6E-409C-BE32-E72D297353CC}">
              <c16:uniqueId val="{00000000-1381-4380-BBAF-C6519CD30271}"/>
            </c:ext>
          </c:extLst>
        </c:ser>
        <c:dLbls>
          <c:dLblPos val="outEnd"/>
          <c:showLegendKey val="0"/>
          <c:showVal val="1"/>
          <c:showCatName val="0"/>
          <c:showSerName val="0"/>
          <c:showPercent val="0"/>
          <c:showBubbleSize val="0"/>
        </c:dLbls>
        <c:gapWidth val="100"/>
        <c:overlap val="-24"/>
        <c:axId val="2046902255"/>
        <c:axId val="2046896975"/>
      </c:barChart>
      <c:catAx>
        <c:axId val="2046902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896975"/>
        <c:crosses val="autoZero"/>
        <c:auto val="1"/>
        <c:lblAlgn val="ctr"/>
        <c:lblOffset val="100"/>
        <c:noMultiLvlLbl val="0"/>
      </c:catAx>
      <c:valAx>
        <c:axId val="204689697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90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&amp;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Table'!$F$14</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Table'!$E$15:$E$17</c:f>
              <c:strCache>
                <c:ptCount val="2"/>
                <c:pt idx="0">
                  <c:v>F</c:v>
                </c:pt>
                <c:pt idx="1">
                  <c:v>M</c:v>
                </c:pt>
              </c:strCache>
            </c:strRef>
          </c:cat>
          <c:val>
            <c:numRef>
              <c:f>'Pivot Table'!$F$15:$F$17</c:f>
              <c:numCache>
                <c:formatCode>_("$"* #,##0.00_);_("$"* \(#,##0.00\);_("$"* "-"??_);_(@_)</c:formatCode>
                <c:ptCount val="2"/>
                <c:pt idx="0">
                  <c:v>709670</c:v>
                </c:pt>
                <c:pt idx="1">
                  <c:v>699830</c:v>
                </c:pt>
              </c:numCache>
            </c:numRef>
          </c:val>
          <c:extLst>
            <c:ext xmlns:c16="http://schemas.microsoft.com/office/drawing/2014/chart" uri="{C3380CC4-5D6E-409C-BE32-E72D297353CC}">
              <c16:uniqueId val="{00000000-5CF6-4CA6-9049-336212D599AB}"/>
            </c:ext>
          </c:extLst>
        </c:ser>
        <c:dLbls>
          <c:showLegendKey val="0"/>
          <c:showVal val="0"/>
          <c:showCatName val="0"/>
          <c:showSerName val="0"/>
          <c:showPercent val="0"/>
          <c:showBubbleSize val="0"/>
        </c:dLbls>
        <c:gapWidth val="219"/>
        <c:overlap val="-27"/>
        <c:axId val="1939096687"/>
        <c:axId val="1939100047"/>
      </c:barChart>
      <c:lineChart>
        <c:grouping val="standard"/>
        <c:varyColors val="0"/>
        <c:ser>
          <c:idx val="1"/>
          <c:order val="1"/>
          <c:tx>
            <c:strRef>
              <c:f>'Pivot Table'!$G$14</c:f>
              <c:strCache>
                <c:ptCount val="1"/>
                <c:pt idx="0">
                  <c:v>Count of Order_Quantity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lightRig rig="threePt" dir="t"/>
              </a:scene3d>
              <a:sp3d>
                <a:bevelT prst="angle"/>
              </a:sp3d>
            </c:spPr>
          </c:marker>
          <c:cat>
            <c:strRef>
              <c:f>'Pivot Table'!$E$15:$E$17</c:f>
              <c:strCache>
                <c:ptCount val="2"/>
                <c:pt idx="0">
                  <c:v>F</c:v>
                </c:pt>
                <c:pt idx="1">
                  <c:v>M</c:v>
                </c:pt>
              </c:strCache>
            </c:strRef>
          </c:cat>
          <c:val>
            <c:numRef>
              <c:f>'Pivot Table'!$G$15:$G$17</c:f>
              <c:numCache>
                <c:formatCode>_(* #,##0_);_(* \(#,##0\);_(* "-"??_);_(@_)</c:formatCode>
                <c:ptCount val="2"/>
                <c:pt idx="0">
                  <c:v>386</c:v>
                </c:pt>
                <c:pt idx="1">
                  <c:v>366</c:v>
                </c:pt>
              </c:numCache>
            </c:numRef>
          </c:val>
          <c:smooth val="0"/>
          <c:extLst>
            <c:ext xmlns:c16="http://schemas.microsoft.com/office/drawing/2014/chart" uri="{C3380CC4-5D6E-409C-BE32-E72D297353CC}">
              <c16:uniqueId val="{00000001-5CF6-4CA6-9049-336212D599AB}"/>
            </c:ext>
          </c:extLst>
        </c:ser>
        <c:dLbls>
          <c:showLegendKey val="0"/>
          <c:showVal val="0"/>
          <c:showCatName val="0"/>
          <c:showSerName val="0"/>
          <c:showPercent val="0"/>
          <c:showBubbleSize val="0"/>
        </c:dLbls>
        <c:marker val="1"/>
        <c:smooth val="0"/>
        <c:axId val="1939105807"/>
        <c:axId val="1939104367"/>
      </c:lineChart>
      <c:catAx>
        <c:axId val="1939096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100047"/>
        <c:crosses val="autoZero"/>
        <c:auto val="1"/>
        <c:lblAlgn val="ctr"/>
        <c:lblOffset val="100"/>
        <c:noMultiLvlLbl val="0"/>
      </c:catAx>
      <c:valAx>
        <c:axId val="1939100047"/>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096687"/>
        <c:crosses val="autoZero"/>
        <c:crossBetween val="between"/>
      </c:valAx>
      <c:valAx>
        <c:axId val="1939104367"/>
        <c:scaling>
          <c:orientation val="minMax"/>
        </c:scaling>
        <c:delete val="0"/>
        <c:axPos val="r"/>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105807"/>
        <c:crosses val="max"/>
        <c:crossBetween val="between"/>
      </c:valAx>
      <c:catAx>
        <c:axId val="1939105807"/>
        <c:scaling>
          <c:orientation val="minMax"/>
        </c:scaling>
        <c:delete val="1"/>
        <c:axPos val="b"/>
        <c:numFmt formatCode="General" sourceLinked="1"/>
        <c:majorTickMark val="none"/>
        <c:minorTickMark val="none"/>
        <c:tickLblPos val="nextTo"/>
        <c:crossAx val="193910436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4"/>
        <c:spPr>
          <a:solidFill>
            <a:srgbClr val="FF0000"/>
          </a:soli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5"/>
        <c:spPr>
          <a:solidFill>
            <a:schemeClr val="bg2"/>
          </a:soli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6"/>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9"/>
        <c:spPr>
          <a:solidFill>
            <a:srgbClr val="FF0000"/>
          </a:soli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10"/>
        <c:spPr>
          <a:solidFill>
            <a:schemeClr val="bg2"/>
          </a:soli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11"/>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s>
    <c:plotArea>
      <c:layout/>
      <c:barChart>
        <c:barDir val="col"/>
        <c:grouping val="clustered"/>
        <c:varyColors val="0"/>
        <c:ser>
          <c:idx val="0"/>
          <c:order val="0"/>
          <c:tx>
            <c:strRef>
              <c:f>'Pivot Table'!$J$51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dPt>
            <c:idx val="0"/>
            <c:invertIfNegative val="0"/>
            <c:bubble3D val="0"/>
            <c:spPr>
              <a:solidFill>
                <a:schemeClr val="tx1"/>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1-EDCC-4DDC-BD2D-B89A905FB23C}"/>
              </c:ext>
            </c:extLst>
          </c:dPt>
          <c:dPt>
            <c:idx val="1"/>
            <c:invertIfNegative val="0"/>
            <c:bubble3D val="0"/>
            <c:spPr>
              <a:solidFill>
                <a:srgbClr val="FF0000"/>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3-EDCC-4DDC-BD2D-B89A905FB23C}"/>
              </c:ext>
            </c:extLst>
          </c:dPt>
          <c:dPt>
            <c:idx val="2"/>
            <c:invertIfNegative val="0"/>
            <c:bubble3D val="0"/>
            <c:spPr>
              <a:solidFill>
                <a:schemeClr val="bg2"/>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5-EDCC-4DDC-BD2D-B89A905FB23C}"/>
              </c:ext>
            </c:extLst>
          </c:dPt>
          <c:dPt>
            <c:idx val="3"/>
            <c:invertIfNegative val="0"/>
            <c:bubble3D val="0"/>
            <c:spPr>
              <a:solidFill>
                <a:srgbClr val="FFFF00"/>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7-EDCC-4DDC-BD2D-B89A905FB23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Table'!$I$52:$I$56</c:f>
              <c:strCache>
                <c:ptCount val="4"/>
                <c:pt idx="0">
                  <c:v>Black</c:v>
                </c:pt>
                <c:pt idx="1">
                  <c:v>Red</c:v>
                </c:pt>
                <c:pt idx="2">
                  <c:v>Silver</c:v>
                </c:pt>
                <c:pt idx="3">
                  <c:v>Yellow</c:v>
                </c:pt>
              </c:strCache>
            </c:strRef>
          </c:cat>
          <c:val>
            <c:numRef>
              <c:f>'Pivot Table'!$J$52:$J$56</c:f>
              <c:numCache>
                <c:formatCode>_("$"* #,##0.00_);_("$"* \(#,##0.00\);_("$"* "-"??_);_(@_)</c:formatCode>
                <c:ptCount val="4"/>
                <c:pt idx="0">
                  <c:v>577790</c:v>
                </c:pt>
                <c:pt idx="1">
                  <c:v>380690</c:v>
                </c:pt>
                <c:pt idx="2">
                  <c:v>191780</c:v>
                </c:pt>
                <c:pt idx="3">
                  <c:v>259240</c:v>
                </c:pt>
              </c:numCache>
            </c:numRef>
          </c:val>
          <c:extLst>
            <c:ext xmlns:c16="http://schemas.microsoft.com/office/drawing/2014/chart" uri="{C3380CC4-5D6E-409C-BE32-E72D297353CC}">
              <c16:uniqueId val="{00000008-EDCC-4DDC-BD2D-B89A905FB23C}"/>
            </c:ext>
          </c:extLst>
        </c:ser>
        <c:dLbls>
          <c:showLegendKey val="0"/>
          <c:showVal val="0"/>
          <c:showCatName val="0"/>
          <c:showSerName val="0"/>
          <c:showPercent val="0"/>
          <c:showBubbleSize val="0"/>
        </c:dLbls>
        <c:gapWidth val="100"/>
        <c:overlap val="-24"/>
        <c:axId val="2046886895"/>
        <c:axId val="2046901295"/>
      </c:barChart>
      <c:catAx>
        <c:axId val="204688689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901295"/>
        <c:crosses val="autoZero"/>
        <c:auto val="1"/>
        <c:lblAlgn val="ctr"/>
        <c:lblOffset val="100"/>
        <c:noMultiLvlLbl val="0"/>
      </c:catAx>
      <c:valAx>
        <c:axId val="204690129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88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116163</xdr:colOff>
      <xdr:row>9</xdr:row>
      <xdr:rowOff>31422</xdr:rowOff>
    </xdr:from>
    <xdr:to>
      <xdr:col>8</xdr:col>
      <xdr:colOff>444373</xdr:colOff>
      <xdr:row>19</xdr:row>
      <xdr:rowOff>167572</xdr:rowOff>
    </xdr:to>
    <xdr:graphicFrame macro="">
      <xdr:nvGraphicFramePr>
        <xdr:cNvPr id="2" name="Chart 1">
          <a:extLst>
            <a:ext uri="{FF2B5EF4-FFF2-40B4-BE49-F238E27FC236}">
              <a16:creationId xmlns:a16="http://schemas.microsoft.com/office/drawing/2014/main" id="{FD13FED1-C4BC-419E-A0D2-41A56BD4E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126129</xdr:colOff>
      <xdr:row>34</xdr:row>
      <xdr:rowOff>118767</xdr:rowOff>
    </xdr:from>
    <xdr:to>
      <xdr:col>25</xdr:col>
      <xdr:colOff>623454</xdr:colOff>
      <xdr:row>48</xdr:row>
      <xdr:rowOff>150092</xdr:rowOff>
    </xdr:to>
    <xdr:graphicFrame macro="">
      <xdr:nvGraphicFramePr>
        <xdr:cNvPr id="3" name="Chart 2">
          <a:extLst>
            <a:ext uri="{FF2B5EF4-FFF2-40B4-BE49-F238E27FC236}">
              <a16:creationId xmlns:a16="http://schemas.microsoft.com/office/drawing/2014/main" id="{E4E32D84-386D-41B3-98E5-F57A3FB21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507999</xdr:colOff>
      <xdr:row>49</xdr:row>
      <xdr:rowOff>36787</xdr:rowOff>
    </xdr:from>
    <xdr:to>
      <xdr:col>25</xdr:col>
      <xdr:colOff>617885</xdr:colOff>
      <xdr:row>63</xdr:row>
      <xdr:rowOff>136515</xdr:rowOff>
    </xdr:to>
    <xdr:graphicFrame macro="">
      <xdr:nvGraphicFramePr>
        <xdr:cNvPr id="4" name="Chart 3">
          <a:extLst>
            <a:ext uri="{FF2B5EF4-FFF2-40B4-BE49-F238E27FC236}">
              <a16:creationId xmlns:a16="http://schemas.microsoft.com/office/drawing/2014/main" id="{EC54DEF8-247B-437C-81EE-02716314B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572401</xdr:colOff>
      <xdr:row>9</xdr:row>
      <xdr:rowOff>34213</xdr:rowOff>
    </xdr:from>
    <xdr:to>
      <xdr:col>25</xdr:col>
      <xdr:colOff>569205</xdr:colOff>
      <xdr:row>20</xdr:row>
      <xdr:rowOff>9181</xdr:rowOff>
    </xdr:to>
    <xdr:graphicFrame macro="">
      <xdr:nvGraphicFramePr>
        <xdr:cNvPr id="5" name="Chart 4">
          <a:extLst>
            <a:ext uri="{FF2B5EF4-FFF2-40B4-BE49-F238E27FC236}">
              <a16:creationId xmlns:a16="http://schemas.microsoft.com/office/drawing/2014/main" id="{7FE63826-8E95-4EEF-A097-30D91E594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73322</xdr:colOff>
      <xdr:row>29</xdr:row>
      <xdr:rowOff>98010</xdr:rowOff>
    </xdr:from>
    <xdr:ext cx="1665144" cy="1001095"/>
    <mc:AlternateContent xmlns:mc="http://schemas.openxmlformats.org/markup-compatibility/2006">
      <mc:Choice xmlns:a14="http://schemas.microsoft.com/office/drawing/2010/main" Requires="a14">
        <xdr:graphicFrame macro="">
          <xdr:nvGraphicFramePr>
            <xdr:cNvPr id="6" name="Sub_Category">
              <a:extLst>
                <a:ext uri="{FF2B5EF4-FFF2-40B4-BE49-F238E27FC236}">
                  <a16:creationId xmlns:a16="http://schemas.microsoft.com/office/drawing/2014/main" id="{A859DBE3-ADAC-464B-964D-3C4AAD316A45}"/>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73322" y="5525316"/>
              <a:ext cx="1665144" cy="1001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86412</xdr:colOff>
      <xdr:row>20</xdr:row>
      <xdr:rowOff>162902</xdr:rowOff>
    </xdr:from>
    <xdr:to>
      <xdr:col>10</xdr:col>
      <xdr:colOff>201976</xdr:colOff>
      <xdr:row>33</xdr:row>
      <xdr:rowOff>156072</xdr:rowOff>
    </xdr:to>
    <xdr:graphicFrame macro="">
      <xdr:nvGraphicFramePr>
        <xdr:cNvPr id="7" name="Chart 6">
          <a:extLst>
            <a:ext uri="{FF2B5EF4-FFF2-40B4-BE49-F238E27FC236}">
              <a16:creationId xmlns:a16="http://schemas.microsoft.com/office/drawing/2014/main" id="{E66F0EA3-B08C-4CF4-9C44-0A7ED5818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85655</xdr:colOff>
      <xdr:row>9</xdr:row>
      <xdr:rowOff>33103</xdr:rowOff>
    </xdr:from>
    <xdr:to>
      <xdr:col>17</xdr:col>
      <xdr:colOff>431104</xdr:colOff>
      <xdr:row>20</xdr:row>
      <xdr:rowOff>6054</xdr:rowOff>
    </xdr:to>
    <xdr:graphicFrame macro="">
      <xdr:nvGraphicFramePr>
        <xdr:cNvPr id="8" name="Chart 7">
          <a:extLst>
            <a:ext uri="{FF2B5EF4-FFF2-40B4-BE49-F238E27FC236}">
              <a16:creationId xmlns:a16="http://schemas.microsoft.com/office/drawing/2014/main" id="{364FD773-3028-4DAE-9B56-CF287CB35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46182</xdr:colOff>
      <xdr:row>34</xdr:row>
      <xdr:rowOff>97281</xdr:rowOff>
    </xdr:from>
    <xdr:to>
      <xdr:col>13</xdr:col>
      <xdr:colOff>411468</xdr:colOff>
      <xdr:row>48</xdr:row>
      <xdr:rowOff>126999</xdr:rowOff>
    </xdr:to>
    <xdr:graphicFrame macro="">
      <xdr:nvGraphicFramePr>
        <xdr:cNvPr id="9" name="Chart 8">
          <a:extLst>
            <a:ext uri="{FF2B5EF4-FFF2-40B4-BE49-F238E27FC236}">
              <a16:creationId xmlns:a16="http://schemas.microsoft.com/office/drawing/2014/main" id="{2E3739FF-5DF9-4788-8667-EA2950053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110168</xdr:colOff>
      <xdr:row>20</xdr:row>
      <xdr:rowOff>174433</xdr:rowOff>
    </xdr:from>
    <xdr:to>
      <xdr:col>25</xdr:col>
      <xdr:colOff>596748</xdr:colOff>
      <xdr:row>34</xdr:row>
      <xdr:rowOff>9181</xdr:rowOff>
    </xdr:to>
    <xdr:graphicFrame macro="">
      <xdr:nvGraphicFramePr>
        <xdr:cNvPr id="10" name="Chart 9">
          <a:extLst>
            <a:ext uri="{FF2B5EF4-FFF2-40B4-BE49-F238E27FC236}">
              <a16:creationId xmlns:a16="http://schemas.microsoft.com/office/drawing/2014/main" id="{022A661C-59B2-4FF2-919C-BF5BC60F1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497933</xdr:colOff>
      <xdr:row>34</xdr:row>
      <xdr:rowOff>91121</xdr:rowOff>
    </xdr:from>
    <xdr:to>
      <xdr:col>20</xdr:col>
      <xdr:colOff>94518</xdr:colOff>
      <xdr:row>48</xdr:row>
      <xdr:rowOff>153709</xdr:rowOff>
    </xdr:to>
    <xdr:graphicFrame macro="">
      <xdr:nvGraphicFramePr>
        <xdr:cNvPr id="11" name="Chart 10">
          <a:extLst>
            <a:ext uri="{FF2B5EF4-FFF2-40B4-BE49-F238E27FC236}">
              <a16:creationId xmlns:a16="http://schemas.microsoft.com/office/drawing/2014/main" id="{223D21BC-70AB-448D-A346-AD05E2D6D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66875</xdr:colOff>
      <xdr:row>49</xdr:row>
      <xdr:rowOff>22345</xdr:rowOff>
    </xdr:from>
    <xdr:to>
      <xdr:col>13</xdr:col>
      <xdr:colOff>415636</xdr:colOff>
      <xdr:row>63</xdr:row>
      <xdr:rowOff>142845</xdr:rowOff>
    </xdr:to>
    <xdr:graphicFrame macro="">
      <xdr:nvGraphicFramePr>
        <xdr:cNvPr id="12" name="Chart 11">
          <a:extLst>
            <a:ext uri="{FF2B5EF4-FFF2-40B4-BE49-F238E27FC236}">
              <a16:creationId xmlns:a16="http://schemas.microsoft.com/office/drawing/2014/main" id="{E9D62306-3ED5-4225-A47D-EA8B1C3B6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96345</xdr:colOff>
      <xdr:row>2</xdr:row>
      <xdr:rowOff>2</xdr:rowOff>
    </xdr:from>
    <xdr:to>
      <xdr:col>9</xdr:col>
      <xdr:colOff>341586</xdr:colOff>
      <xdr:row>5</xdr:row>
      <xdr:rowOff>122621</xdr:rowOff>
    </xdr:to>
    <xdr:sp macro="" textlink="">
      <xdr:nvSpPr>
        <xdr:cNvPr id="13" name="TextBox 12">
          <a:extLst>
            <a:ext uri="{FF2B5EF4-FFF2-40B4-BE49-F238E27FC236}">
              <a16:creationId xmlns:a16="http://schemas.microsoft.com/office/drawing/2014/main" id="{6F49126E-390C-498D-8136-273D66FD78CA}"/>
            </a:ext>
          </a:extLst>
        </xdr:cNvPr>
        <xdr:cNvSpPr txBox="1"/>
      </xdr:nvSpPr>
      <xdr:spPr>
        <a:xfrm>
          <a:off x="4470225" y="365762"/>
          <a:ext cx="1494921" cy="671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Revenue</a:t>
          </a:r>
          <a:endParaRPr lang="ar-EG" sz="1600" b="1"/>
        </a:p>
        <a:p>
          <a:pPr algn="ctr"/>
          <a:r>
            <a:rPr lang="en-US" sz="1600" b="1" i="0" u="none" strike="noStrike">
              <a:solidFill>
                <a:schemeClr val="dk1"/>
              </a:solidFill>
              <a:effectLst/>
              <a:latin typeface="+mn-lt"/>
              <a:ea typeface="+mn-ea"/>
              <a:cs typeface="+mn-cs"/>
            </a:rPr>
            <a:t> 1,409,500.00 </a:t>
          </a:r>
          <a:r>
            <a:rPr lang="ar-EG" sz="1600" b="1" i="0" u="none" strike="noStrike">
              <a:solidFill>
                <a:schemeClr val="dk1"/>
              </a:solidFill>
              <a:effectLst/>
              <a:latin typeface="+mn-lt"/>
              <a:ea typeface="+mn-ea"/>
              <a:cs typeface="+mn-cs"/>
            </a:rPr>
            <a:t>$</a:t>
          </a:r>
          <a:endParaRPr lang="en-US" sz="1600" b="1"/>
        </a:p>
      </xdr:txBody>
    </xdr:sp>
    <xdr:clientData/>
  </xdr:twoCellAnchor>
  <xdr:twoCellAnchor>
    <xdr:from>
      <xdr:col>9</xdr:col>
      <xdr:colOff>458952</xdr:colOff>
      <xdr:row>2</xdr:row>
      <xdr:rowOff>29782</xdr:rowOff>
    </xdr:from>
    <xdr:to>
      <xdr:col>13</xdr:col>
      <xdr:colOff>161158</xdr:colOff>
      <xdr:row>5</xdr:row>
      <xdr:rowOff>152401</xdr:rowOff>
    </xdr:to>
    <xdr:sp macro="" textlink="">
      <xdr:nvSpPr>
        <xdr:cNvPr id="14" name="TextBox 13">
          <a:extLst>
            <a:ext uri="{FF2B5EF4-FFF2-40B4-BE49-F238E27FC236}">
              <a16:creationId xmlns:a16="http://schemas.microsoft.com/office/drawing/2014/main" id="{D8E62279-005B-4214-B81F-BD164E91CFDC}"/>
            </a:ext>
          </a:extLst>
        </xdr:cNvPr>
        <xdr:cNvSpPr txBox="1"/>
      </xdr:nvSpPr>
      <xdr:spPr>
        <a:xfrm>
          <a:off x="6082512" y="395542"/>
          <a:ext cx="2201566" cy="671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Total_Cost</a:t>
          </a:r>
          <a:endParaRPr lang="ar-EG" sz="1600" b="1"/>
        </a:p>
        <a:p>
          <a:pPr algn="ctr"/>
          <a:r>
            <a:rPr lang="en-US" sz="1100" b="1" i="0" u="none" strike="noStrike">
              <a:solidFill>
                <a:schemeClr val="dk1"/>
              </a:solidFill>
              <a:effectLst/>
              <a:latin typeface="+mn-lt"/>
              <a:ea typeface="+mn-ea"/>
              <a:cs typeface="+mn-cs"/>
            </a:rPr>
            <a:t> $ </a:t>
          </a:r>
          <a:r>
            <a:rPr lang="en-US" sz="1600" b="1">
              <a:solidFill>
                <a:schemeClr val="dk1"/>
              </a:solidFill>
              <a:latin typeface="+mn-lt"/>
              <a:ea typeface="+mn-ea"/>
              <a:cs typeface="+mn-cs"/>
            </a:rPr>
            <a:t>896,040.00</a:t>
          </a:r>
          <a:r>
            <a:rPr lang="en-US" sz="1100" b="1" i="0" u="none" strike="noStrike">
              <a:solidFill>
                <a:schemeClr val="dk1"/>
              </a:solidFill>
              <a:effectLst/>
              <a:latin typeface="+mn-lt"/>
              <a:ea typeface="+mn-ea"/>
              <a:cs typeface="+mn-cs"/>
            </a:rPr>
            <a:t> </a:t>
          </a:r>
          <a:endParaRPr lang="en-US" sz="1600" b="1"/>
        </a:p>
      </xdr:txBody>
    </xdr:sp>
    <xdr:clientData/>
  </xdr:twoCellAnchor>
  <xdr:twoCellAnchor>
    <xdr:from>
      <xdr:col>13</xdr:col>
      <xdr:colOff>248745</xdr:colOff>
      <xdr:row>2</xdr:row>
      <xdr:rowOff>21022</xdr:rowOff>
    </xdr:from>
    <xdr:to>
      <xdr:col>15</xdr:col>
      <xdr:colOff>493986</xdr:colOff>
      <xdr:row>5</xdr:row>
      <xdr:rowOff>143641</xdr:rowOff>
    </xdr:to>
    <xdr:sp macro="" textlink="">
      <xdr:nvSpPr>
        <xdr:cNvPr id="15" name="TextBox 14">
          <a:extLst>
            <a:ext uri="{FF2B5EF4-FFF2-40B4-BE49-F238E27FC236}">
              <a16:creationId xmlns:a16="http://schemas.microsoft.com/office/drawing/2014/main" id="{7BA3F168-8F64-49B6-96A0-3D79FAC8F09F}"/>
            </a:ext>
          </a:extLst>
        </xdr:cNvPr>
        <xdr:cNvSpPr txBox="1"/>
      </xdr:nvSpPr>
      <xdr:spPr>
        <a:xfrm>
          <a:off x="8371665" y="386782"/>
          <a:ext cx="1494921" cy="671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dk1"/>
              </a:solidFill>
              <a:latin typeface="+mn-lt"/>
              <a:ea typeface="+mn-ea"/>
              <a:cs typeface="+mn-cs"/>
            </a:rPr>
            <a:t>Profit_Margin</a:t>
          </a:r>
        </a:p>
        <a:p>
          <a:pPr marL="0" indent="0" algn="ctr"/>
          <a:r>
            <a:rPr lang="en-US" sz="1600" b="1">
              <a:solidFill>
                <a:schemeClr val="dk1"/>
              </a:solidFill>
              <a:latin typeface="+mn-lt"/>
              <a:ea typeface="+mn-ea"/>
              <a:cs typeface="+mn-cs"/>
            </a:rPr>
            <a:t>36% </a:t>
          </a:r>
        </a:p>
      </xdr:txBody>
    </xdr:sp>
    <xdr:clientData/>
  </xdr:twoCellAnchor>
  <xdr:twoCellAnchor>
    <xdr:from>
      <xdr:col>15</xdr:col>
      <xdr:colOff>620111</xdr:colOff>
      <xdr:row>2</xdr:row>
      <xdr:rowOff>24526</xdr:rowOff>
    </xdr:from>
    <xdr:to>
      <xdr:col>18</xdr:col>
      <xdr:colOff>243490</xdr:colOff>
      <xdr:row>5</xdr:row>
      <xdr:rowOff>147145</xdr:rowOff>
    </xdr:to>
    <xdr:sp macro="" textlink="">
      <xdr:nvSpPr>
        <xdr:cNvPr id="16" name="TextBox 15">
          <a:extLst>
            <a:ext uri="{FF2B5EF4-FFF2-40B4-BE49-F238E27FC236}">
              <a16:creationId xmlns:a16="http://schemas.microsoft.com/office/drawing/2014/main" id="{A80BF1BD-44D1-4BDB-9BFA-4A29CC411C2E}"/>
            </a:ext>
          </a:extLst>
        </xdr:cNvPr>
        <xdr:cNvSpPr txBox="1"/>
      </xdr:nvSpPr>
      <xdr:spPr>
        <a:xfrm>
          <a:off x="9992711" y="390286"/>
          <a:ext cx="1497899" cy="671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a:solidFill>
                <a:schemeClr val="dk1"/>
              </a:solidFill>
              <a:latin typeface="+mn-lt"/>
              <a:ea typeface="+mn-ea"/>
              <a:cs typeface="+mn-cs"/>
            </a:rPr>
            <a:t>Profit</a:t>
          </a:r>
          <a:r>
            <a:rPr lang="en-US" sz="1600" b="1">
              <a:solidFill>
                <a:schemeClr val="dk1"/>
              </a:solidFill>
              <a:latin typeface="+mn-lt"/>
              <a:ea typeface="+mn-ea"/>
              <a:cs typeface="+mn-cs"/>
            </a:rPr>
            <a:t>                     513,460.00   $                    </a:t>
          </a:r>
        </a:p>
      </xdr:txBody>
    </xdr:sp>
    <xdr:clientData/>
  </xdr:twoCellAnchor>
  <xdr:twoCellAnchor>
    <xdr:from>
      <xdr:col>18</xdr:col>
      <xdr:colOff>352097</xdr:colOff>
      <xdr:row>2</xdr:row>
      <xdr:rowOff>28028</xdr:rowOff>
    </xdr:from>
    <xdr:to>
      <xdr:col>22</xdr:col>
      <xdr:colOff>80579</xdr:colOff>
      <xdr:row>5</xdr:row>
      <xdr:rowOff>150647</xdr:rowOff>
    </xdr:to>
    <xdr:sp macro="" textlink="">
      <xdr:nvSpPr>
        <xdr:cNvPr id="17" name="TextBox 16">
          <a:extLst>
            <a:ext uri="{FF2B5EF4-FFF2-40B4-BE49-F238E27FC236}">
              <a16:creationId xmlns:a16="http://schemas.microsoft.com/office/drawing/2014/main" id="{BE84D086-AE26-4D68-B413-1DCCBB284872}"/>
            </a:ext>
          </a:extLst>
        </xdr:cNvPr>
        <xdr:cNvSpPr txBox="1"/>
      </xdr:nvSpPr>
      <xdr:spPr>
        <a:xfrm>
          <a:off x="11599217" y="393788"/>
          <a:ext cx="2227842" cy="671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dk1"/>
              </a:solidFill>
              <a:latin typeface="+mn-lt"/>
              <a:ea typeface="+mn-ea"/>
              <a:cs typeface="+mn-cs"/>
            </a:rPr>
            <a:t>Order_Quantity </a:t>
          </a:r>
          <a:endParaRPr lang="ar-EG" sz="1600" b="1">
            <a:solidFill>
              <a:schemeClr val="dk1"/>
            </a:solidFill>
            <a:latin typeface="+mn-lt"/>
            <a:ea typeface="+mn-ea"/>
            <a:cs typeface="+mn-cs"/>
          </a:endParaRPr>
        </a:p>
        <a:p>
          <a:pPr marL="0" indent="0" algn="ctr"/>
          <a:r>
            <a:rPr lang="en-US" sz="1600" b="1">
              <a:solidFill>
                <a:schemeClr val="dk1"/>
              </a:solidFill>
              <a:latin typeface="+mn-lt"/>
              <a:ea typeface="+mn-ea"/>
              <a:cs typeface="+mn-cs"/>
            </a:rPr>
            <a:t>752 </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0.39823</cdr:x>
      <cdr:y>0.45304</cdr:y>
    </cdr:from>
    <cdr:to>
      <cdr:x>0.55371</cdr:x>
      <cdr:y>0.71039</cdr:y>
    </cdr:to>
    <cdr:pic>
      <cdr:nvPicPr>
        <cdr:cNvPr id="5" name="Picture 4">
          <a:extLst xmlns:a="http://schemas.openxmlformats.org/drawingml/2006/main">
            <a:ext uri="{FF2B5EF4-FFF2-40B4-BE49-F238E27FC236}">
              <a16:creationId xmlns:a16="http://schemas.microsoft.com/office/drawing/2014/main" id="{BDEADA1B-BD62-5FDE-AE39-8363E16729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082919" y="894963"/>
          <a:ext cx="422799" cy="50838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Bike_Sale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ckend" refreshedDate="46245.663055787038" createdVersion="8" refreshedVersion="8" minRefreshableVersion="3" recordCount="752" xr:uid="{F434316D-605D-4641-82F2-1FE897A2F8A6}">
  <cacheSource type="worksheet">
    <worksheetSource name="Bike_Sales" r:id="rId2"/>
  </cacheSource>
  <cacheFields count="18">
    <cacheField name="Date" numFmtId="14">
      <sharedItems containsSemiMixedTypes="0" containsNonDate="0" containsDate="1" containsString="0" minDate="2021-10-01T00:00:00" maxDate="2022-01-01T00:00:00" count="92">
        <d v="2021-11-01T00:00:00"/>
        <d v="2021-11-02T00:00:00"/>
        <d v="2021-11-08T00:00:00"/>
        <d v="2021-11-11T00:00:00"/>
        <d v="2021-11-18T00:00:00"/>
        <d v="2021-11-23T00:00:00"/>
        <d v="2021-11-26T00:00:00"/>
        <d v="2021-11-29T00:00:00"/>
        <d v="2021-11-30T00:00:00"/>
        <d v="2021-12-19T00:00:00"/>
        <d v="2021-10-13T00:00:00"/>
        <d v="2021-11-03T00:00:00"/>
        <d v="2021-11-07T00:00:00"/>
        <d v="2021-11-20T00:00:00"/>
        <d v="2021-11-22T00:00:00"/>
        <d v="2021-12-11T00:00:00"/>
        <d v="2021-12-12T00:00:00"/>
        <d v="2021-12-16T00:00:00"/>
        <d v="2021-12-17T00:00:00"/>
        <d v="2021-12-22T00:00:00"/>
        <d v="2021-10-24T00:00:00"/>
        <d v="2021-11-06T00:00:00"/>
        <d v="2021-11-14T00:00:00"/>
        <d v="2021-11-15T00:00:00"/>
        <d v="2021-11-25T00:00:00"/>
        <d v="2021-12-07T00:00:00"/>
        <d v="2021-12-08T00:00:00"/>
        <d v="2021-12-23T00:00:00"/>
        <d v="2021-12-24T00:00:00"/>
        <d v="2021-12-28T00:00:00"/>
        <d v="2021-11-10T00:00:00"/>
        <d v="2021-11-16T00:00:00"/>
        <d v="2021-11-28T00:00:00"/>
        <d v="2021-12-01T00:00:00"/>
        <d v="2021-10-04T00:00:00"/>
        <d v="2021-10-08T00:00:00"/>
        <d v="2021-10-28T00:00:00"/>
        <d v="2021-10-31T00:00:00"/>
        <d v="2021-11-17T00:00:00"/>
        <d v="2021-11-12T00:00:00"/>
        <d v="2021-11-24T00:00:00"/>
        <d v="2021-12-04T00:00:00"/>
        <d v="2021-12-29T00:00:00"/>
        <d v="2021-10-21T00:00:00"/>
        <d v="2021-10-25T00:00:00"/>
        <d v="2021-10-26T00:00:00"/>
        <d v="2021-10-30T00:00:00"/>
        <d v="2021-12-06T00:00:00"/>
        <d v="2021-12-10T00:00:00"/>
        <d v="2021-12-15T00:00:00"/>
        <d v="2021-12-21T00:00:00"/>
        <d v="2021-12-30T00:00:00"/>
        <d v="2021-10-06T00:00:00"/>
        <d v="2021-10-15T00:00:00"/>
        <d v="2021-11-05T00:00:00"/>
        <d v="2021-11-13T00:00:00"/>
        <d v="2021-11-27T00:00:00"/>
        <d v="2021-12-03T00:00:00"/>
        <d v="2021-12-18T00:00:00"/>
        <d v="2021-12-26T00:00:00"/>
        <d v="2021-10-22T00:00:00"/>
        <d v="2021-11-09T00:00:00"/>
        <d v="2021-11-21T00:00:00"/>
        <d v="2021-12-25T00:00:00"/>
        <d v="2021-12-31T00:00:00"/>
        <d v="2021-10-11T00:00:00"/>
        <d v="2021-10-12T00:00:00"/>
        <d v="2021-10-17T00:00:00"/>
        <d v="2021-10-19T00:00:00"/>
        <d v="2021-10-20T00:00:00"/>
        <d v="2021-12-09T00:00:00"/>
        <d v="2021-12-27T00:00:00"/>
        <d v="2021-10-01T00:00:00"/>
        <d v="2021-10-09T00:00:00"/>
        <d v="2021-10-18T00:00:00"/>
        <d v="2021-10-23T00:00:00"/>
        <d v="2021-10-29T00:00:00"/>
        <d v="2021-12-05T00:00:00"/>
        <d v="2021-12-13T00:00:00"/>
        <d v="2021-12-20T00:00:00"/>
        <d v="2021-10-02T00:00:00"/>
        <d v="2021-10-14T00:00:00"/>
        <d v="2021-10-16T00:00:00"/>
        <d v="2021-12-02T00:00:00"/>
        <d v="2021-10-03T00:00:00"/>
        <d v="2021-10-05T00:00:00"/>
        <d v="2021-10-27T00:00:00"/>
        <d v="2021-11-19T00:00:00"/>
        <d v="2021-12-14T00:00:00"/>
        <d v="2021-10-07T00:00:00"/>
        <d v="2021-10-10T00:00:00"/>
        <d v="2021-11-04T00:00:00"/>
      </sharedItems>
      <fieldGroup par="17"/>
    </cacheField>
    <cacheField name="Customer_Age" numFmtId="0">
      <sharedItems containsSemiMixedTypes="0" containsString="0" containsNumber="1" containsInteger="1" minValue="17" maxValue="75"/>
    </cacheField>
    <cacheField name="CustoMer_Gender" numFmtId="0">
      <sharedItems count="2">
        <s v="M"/>
        <s v="F"/>
      </sharedItems>
    </cacheField>
    <cacheField name="Country" numFmtId="0">
      <sharedItems count="6">
        <s v="Australia"/>
        <s v="France"/>
        <s v="United States"/>
        <s v="Germany"/>
        <s v="Canada"/>
        <s v="United Kingdom"/>
      </sharedItems>
    </cacheField>
    <cacheField name="State" numFmtId="0">
      <sharedItems count="32">
        <s v="Victoria"/>
        <s v="New South Wales"/>
        <s v="Queensland"/>
        <s v="Tasmania"/>
        <s v="Nord"/>
        <s v="Washington"/>
        <s v="Bayern"/>
        <s v="California"/>
        <s v="Hessen"/>
        <s v="Oregon"/>
        <s v="South Australia"/>
        <s v="British Columbia"/>
        <s v="Nordrhein-Westfalen"/>
        <s v="Saarland"/>
        <s v="Hamburg"/>
        <s v="Seine (Paris)"/>
        <s v="England"/>
        <s v="Seine Saint Denis"/>
        <s v="Seine et Marne"/>
        <s v="Garonne (Haute)"/>
        <s v="Pas de Calais"/>
        <s v="Essonne"/>
        <s v="Moselle"/>
        <s v="Hauts de Seine"/>
        <s v="Somme"/>
        <s v="Loir et Cher"/>
        <s v="Loiret"/>
        <s v="Yveline"/>
        <s v="Charente-Maritime"/>
        <s v="Brandenburg"/>
        <s v="Val de Marne"/>
        <s v="Texas"/>
      </sharedItems>
    </cacheField>
    <cacheField name="Sub_Category" numFmtId="0">
      <sharedItems count="2">
        <s v="Road Bikes"/>
        <s v="Mountain Bikes"/>
      </sharedItems>
    </cacheField>
    <cacheField name="Bike_Color" numFmtId="0">
      <sharedItems count="4">
        <s v="Black"/>
        <s v="Red"/>
        <s v="Silver"/>
        <s v="Yellow"/>
      </sharedItems>
    </cacheField>
    <cacheField name="Product" numFmtId="0">
      <sharedItems count="60">
        <s v="Road-750 Black, 48"/>
        <s v="Road-650 Red, 48"/>
        <s v="Road-650 Red, 58"/>
        <s v="Mountain-200 Silver, 46"/>
        <s v="Road-150 Red, 56"/>
        <s v="Road-150 Red, 62"/>
        <s v="Road-750 Black, 52"/>
        <s v="Road-750 Black, 58"/>
        <s v="Road-250 Red, 58"/>
        <s v="Road-650 Black, 62"/>
        <s v="Road-250 Black, 52"/>
        <s v="Road-550-W Yellow, 40"/>
        <s v="Mountain-500 Black, 40"/>
        <s v="Mountain-400-W Silver, 42"/>
        <s v="Road-250 Black, 58"/>
        <s v="Mountain-200 Black, 46"/>
        <s v="Road-150 Red, 48"/>
        <s v="Road-550-W Yellow, 42"/>
        <s v="Mountain-500 Silver, 42"/>
        <s v="Mountain-500 Black, 44"/>
        <s v="Mountain-200 Silver, 38"/>
        <s v="Mountain-500 Silver, 52"/>
        <s v="Road-750 Black, 44"/>
        <s v="Road-350-W Yellow, 48"/>
        <s v="Road-250 Black, 48"/>
        <s v="Mountain-200 Black, 38"/>
        <s v="Road-650 Black, 44"/>
        <s v="Road-250 Red, 44"/>
        <s v="Road-250 Black, 44"/>
        <s v="Road-350-W Yellow, 42"/>
        <s v="Road-150 Red, 52"/>
        <s v="Mountain-400-W Silver, 46"/>
        <s v="Road-250 Red, 48"/>
        <s v="Road-550-W Yellow, 48"/>
        <s v="Road-250 Red, 52"/>
        <s v="Road-550-W Yellow, 44"/>
        <s v="Road-550-W Yellow, 38"/>
        <s v="Road-350-W Yellow, 40"/>
        <s v="Road-350-W Yellow, 44"/>
        <s v="Road-650 Black, 60"/>
        <s v="Mountain-200 Silver, 42"/>
        <s v="Mountain-200 Black, 42"/>
        <s v="Road-650 Red, 44"/>
        <s v="Road-150 Red, 44"/>
        <s v="Road-650 Black, 58"/>
        <s v="Mountain-500 Black, 52"/>
        <s v="Mountain-500 Black, 48"/>
        <s v="Road-650 Red, 52"/>
        <s v="Road-650 Black, 52"/>
        <s v="Mountain-400-W Silver, 38"/>
        <s v="Road-650 Black, 48"/>
        <s v="Mountain-400-W Silver, 40"/>
        <s v="Road-650 Red, 62"/>
        <s v="Mountain-100 Black, 38"/>
        <s v="Mountain-100 Silver, 44"/>
        <s v="Mountain-100 Black, 42"/>
        <s v="Mountain-500 Black, 42"/>
        <s v="Mountain-100 Black, 48"/>
        <s v="Mountain-500 Silver, 40"/>
        <s v="Road-650 Red, 60"/>
      </sharedItems>
    </cacheField>
    <cacheField name="Order_Quantity" numFmtId="1">
      <sharedItems containsSemiMixedTypes="0" containsString="0" containsNumber="1" containsInteger="1" minValue="1" maxValue="4"/>
    </cacheField>
    <cacheField name="Unit_Cost" numFmtId="0">
      <sharedItems containsSemiMixedTypes="0" containsString="0" containsNumber="1" containsInteger="1" minValue="400" maxValue="900"/>
    </cacheField>
    <cacheField name="Unit_Price" numFmtId="0">
      <sharedItems containsSemiMixedTypes="0" containsString="0" containsNumber="1" containsInteger="1" minValue="650" maxValue="1400"/>
    </cacheField>
    <cacheField name="Revenue" numFmtId="164">
      <sharedItems containsSemiMixedTypes="0" containsString="0" containsNumber="1" containsInteger="1" minValue="650" maxValue="5600"/>
    </cacheField>
    <cacheField name="Total_Cost" numFmtId="164">
      <sharedItems containsSemiMixedTypes="0" containsString="0" containsNumber="1" containsInteger="1" minValue="400" maxValue="3600"/>
    </cacheField>
    <cacheField name="Profit" numFmtId="164">
      <sharedItems containsSemiMixedTypes="0" containsString="0" containsNumber="1" containsInteger="1" minValue="250" maxValue="2000"/>
    </cacheField>
    <cacheField name="Profit_Margin_%" numFmtId="165">
      <sharedItems containsSemiMixedTypes="0" containsString="0" containsNumber="1" minValue="0.35294117647058826" maxValue="0.47368421052631576"/>
    </cacheField>
    <cacheField name="Age_Group" numFmtId="0">
      <sharedItems count="5">
        <s v="Under 25"/>
        <s v="25-34"/>
        <s v="35-44"/>
        <s v="45-54"/>
        <s v="55+"/>
      </sharedItems>
    </cacheField>
    <cacheField name="Days (Date)" numFmtId="0" databaseField="0">
      <fieldGroup base="0">
        <rangePr groupBy="days" startDate="2021-10-01T00:00:00" endDate="2022-01-01T00:00:00"/>
        <groupItems count="368">
          <s v="&lt;10/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2"/>
        </groupItems>
      </fieldGroup>
    </cacheField>
    <cacheField name="Months (Date)" numFmtId="0" databaseField="0">
      <fieldGroup base="0">
        <rangePr groupBy="months" startDate="2021-10-01T00:00:00" endDate="2022-01-01T00:00:00"/>
        <groupItems count="14">
          <s v="&lt;10/1/2021"/>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1866704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2">
  <r>
    <x v="0"/>
    <n v="17"/>
    <x v="0"/>
    <x v="0"/>
    <x v="0"/>
    <x v="0"/>
    <x v="0"/>
    <x v="0"/>
    <n v="3"/>
    <n v="700"/>
    <n v="1100"/>
    <n v="3300"/>
    <n v="2100"/>
    <n v="1200"/>
    <n v="0.36363636363636365"/>
    <x v="0"/>
  </r>
  <r>
    <x v="1"/>
    <n v="17"/>
    <x v="0"/>
    <x v="0"/>
    <x v="1"/>
    <x v="0"/>
    <x v="1"/>
    <x v="1"/>
    <n v="3"/>
    <n v="620"/>
    <n v="980"/>
    <n v="2940"/>
    <n v="1860"/>
    <n v="1080"/>
    <n v="0.36734693877551022"/>
    <x v="0"/>
  </r>
  <r>
    <x v="1"/>
    <n v="17"/>
    <x v="0"/>
    <x v="0"/>
    <x v="0"/>
    <x v="0"/>
    <x v="0"/>
    <x v="0"/>
    <n v="3"/>
    <n v="700"/>
    <n v="1100"/>
    <n v="3300"/>
    <n v="2100"/>
    <n v="1200"/>
    <n v="0.36363636363636365"/>
    <x v="0"/>
  </r>
  <r>
    <x v="2"/>
    <n v="17"/>
    <x v="0"/>
    <x v="0"/>
    <x v="1"/>
    <x v="0"/>
    <x v="1"/>
    <x v="1"/>
    <n v="1"/>
    <n v="620"/>
    <n v="980"/>
    <n v="980"/>
    <n v="620"/>
    <n v="360"/>
    <n v="0.36734693877551022"/>
    <x v="0"/>
  </r>
  <r>
    <x v="3"/>
    <n v="17"/>
    <x v="0"/>
    <x v="0"/>
    <x v="2"/>
    <x v="0"/>
    <x v="1"/>
    <x v="2"/>
    <n v="4"/>
    <n v="620"/>
    <n v="980"/>
    <n v="3920"/>
    <n v="2480"/>
    <n v="1440"/>
    <n v="0.36734693877551022"/>
    <x v="0"/>
  </r>
  <r>
    <x v="4"/>
    <n v="17"/>
    <x v="0"/>
    <x v="0"/>
    <x v="1"/>
    <x v="0"/>
    <x v="1"/>
    <x v="1"/>
    <n v="2"/>
    <n v="620"/>
    <n v="980"/>
    <n v="1960"/>
    <n v="1240"/>
    <n v="720"/>
    <n v="0.36734693877551022"/>
    <x v="0"/>
  </r>
  <r>
    <x v="4"/>
    <n v="17"/>
    <x v="0"/>
    <x v="0"/>
    <x v="2"/>
    <x v="0"/>
    <x v="1"/>
    <x v="2"/>
    <n v="1"/>
    <n v="620"/>
    <n v="980"/>
    <n v="980"/>
    <n v="620"/>
    <n v="360"/>
    <n v="0.36734693877551022"/>
    <x v="0"/>
  </r>
  <r>
    <x v="5"/>
    <n v="17"/>
    <x v="0"/>
    <x v="0"/>
    <x v="1"/>
    <x v="0"/>
    <x v="1"/>
    <x v="1"/>
    <n v="1"/>
    <n v="620"/>
    <n v="980"/>
    <n v="980"/>
    <n v="620"/>
    <n v="360"/>
    <n v="0.36734693877551022"/>
    <x v="0"/>
  </r>
  <r>
    <x v="6"/>
    <n v="17"/>
    <x v="1"/>
    <x v="0"/>
    <x v="1"/>
    <x v="0"/>
    <x v="1"/>
    <x v="2"/>
    <n v="1"/>
    <n v="620"/>
    <n v="980"/>
    <n v="980"/>
    <n v="620"/>
    <n v="360"/>
    <n v="0.36734693877551022"/>
    <x v="0"/>
  </r>
  <r>
    <x v="7"/>
    <n v="17"/>
    <x v="1"/>
    <x v="0"/>
    <x v="3"/>
    <x v="0"/>
    <x v="0"/>
    <x v="0"/>
    <n v="4"/>
    <n v="700"/>
    <n v="1100"/>
    <n v="4400"/>
    <n v="2800"/>
    <n v="1600"/>
    <n v="0.36363636363636365"/>
    <x v="0"/>
  </r>
  <r>
    <x v="7"/>
    <n v="17"/>
    <x v="0"/>
    <x v="1"/>
    <x v="4"/>
    <x v="1"/>
    <x v="2"/>
    <x v="3"/>
    <n v="1"/>
    <n v="550"/>
    <n v="850"/>
    <n v="850"/>
    <n v="550"/>
    <n v="300"/>
    <n v="0.35294117647058826"/>
    <x v="0"/>
  </r>
  <r>
    <x v="8"/>
    <n v="17"/>
    <x v="0"/>
    <x v="0"/>
    <x v="1"/>
    <x v="0"/>
    <x v="1"/>
    <x v="1"/>
    <n v="3"/>
    <n v="620"/>
    <n v="980"/>
    <n v="2940"/>
    <n v="1860"/>
    <n v="1080"/>
    <n v="0.36734693877551022"/>
    <x v="0"/>
  </r>
  <r>
    <x v="9"/>
    <n v="17"/>
    <x v="0"/>
    <x v="1"/>
    <x v="4"/>
    <x v="1"/>
    <x v="2"/>
    <x v="3"/>
    <n v="4"/>
    <n v="550"/>
    <n v="850"/>
    <n v="3400"/>
    <n v="2200"/>
    <n v="1200"/>
    <n v="0.35294117647058826"/>
    <x v="0"/>
  </r>
  <r>
    <x v="10"/>
    <n v="18"/>
    <x v="1"/>
    <x v="2"/>
    <x v="5"/>
    <x v="0"/>
    <x v="1"/>
    <x v="4"/>
    <n v="3"/>
    <n v="900"/>
    <n v="1400"/>
    <n v="4200"/>
    <n v="2700"/>
    <n v="1500"/>
    <n v="0.35714285714285715"/>
    <x v="0"/>
  </r>
  <r>
    <x v="11"/>
    <n v="18"/>
    <x v="1"/>
    <x v="0"/>
    <x v="2"/>
    <x v="0"/>
    <x v="1"/>
    <x v="5"/>
    <n v="4"/>
    <n v="900"/>
    <n v="1400"/>
    <n v="5600"/>
    <n v="3600"/>
    <n v="2000"/>
    <n v="0.35714285714285715"/>
    <x v="0"/>
  </r>
  <r>
    <x v="12"/>
    <n v="18"/>
    <x v="1"/>
    <x v="0"/>
    <x v="2"/>
    <x v="0"/>
    <x v="1"/>
    <x v="5"/>
    <n v="1"/>
    <n v="900"/>
    <n v="1400"/>
    <n v="1400"/>
    <n v="900"/>
    <n v="500"/>
    <n v="0.35714285714285715"/>
    <x v="0"/>
  </r>
  <r>
    <x v="3"/>
    <n v="18"/>
    <x v="0"/>
    <x v="0"/>
    <x v="0"/>
    <x v="0"/>
    <x v="0"/>
    <x v="6"/>
    <n v="3"/>
    <n v="700"/>
    <n v="1100"/>
    <n v="3300"/>
    <n v="2100"/>
    <n v="1200"/>
    <n v="0.36363636363636365"/>
    <x v="0"/>
  </r>
  <r>
    <x v="3"/>
    <n v="18"/>
    <x v="1"/>
    <x v="0"/>
    <x v="1"/>
    <x v="0"/>
    <x v="0"/>
    <x v="7"/>
    <n v="1"/>
    <n v="700"/>
    <n v="1100"/>
    <n v="1100"/>
    <n v="700"/>
    <n v="400"/>
    <n v="0.36363636363636365"/>
    <x v="0"/>
  </r>
  <r>
    <x v="13"/>
    <n v="18"/>
    <x v="1"/>
    <x v="0"/>
    <x v="1"/>
    <x v="0"/>
    <x v="0"/>
    <x v="7"/>
    <n v="1"/>
    <n v="700"/>
    <n v="1100"/>
    <n v="1100"/>
    <n v="700"/>
    <n v="400"/>
    <n v="0.36363636363636365"/>
    <x v="0"/>
  </r>
  <r>
    <x v="14"/>
    <n v="18"/>
    <x v="1"/>
    <x v="0"/>
    <x v="2"/>
    <x v="0"/>
    <x v="1"/>
    <x v="5"/>
    <n v="1"/>
    <n v="900"/>
    <n v="1400"/>
    <n v="1400"/>
    <n v="900"/>
    <n v="500"/>
    <n v="0.35714285714285715"/>
    <x v="0"/>
  </r>
  <r>
    <x v="8"/>
    <n v="18"/>
    <x v="0"/>
    <x v="3"/>
    <x v="6"/>
    <x v="0"/>
    <x v="1"/>
    <x v="8"/>
    <n v="2"/>
    <n v="580"/>
    <n v="920"/>
    <n v="1840"/>
    <n v="1160"/>
    <n v="680"/>
    <n v="0.36956521739130432"/>
    <x v="0"/>
  </r>
  <r>
    <x v="15"/>
    <n v="18"/>
    <x v="1"/>
    <x v="2"/>
    <x v="7"/>
    <x v="0"/>
    <x v="0"/>
    <x v="9"/>
    <n v="1"/>
    <n v="620"/>
    <n v="980"/>
    <n v="980"/>
    <n v="620"/>
    <n v="360"/>
    <n v="0.36734693877551022"/>
    <x v="0"/>
  </r>
  <r>
    <x v="16"/>
    <n v="18"/>
    <x v="0"/>
    <x v="3"/>
    <x v="8"/>
    <x v="0"/>
    <x v="0"/>
    <x v="10"/>
    <n v="3"/>
    <n v="580"/>
    <n v="920"/>
    <n v="2760"/>
    <n v="1740"/>
    <n v="1020"/>
    <n v="0.36956521739130432"/>
    <x v="0"/>
  </r>
  <r>
    <x v="17"/>
    <n v="18"/>
    <x v="1"/>
    <x v="2"/>
    <x v="9"/>
    <x v="0"/>
    <x v="1"/>
    <x v="1"/>
    <n v="1"/>
    <n v="620"/>
    <n v="980"/>
    <n v="980"/>
    <n v="620"/>
    <n v="360"/>
    <n v="0.36734693877551022"/>
    <x v="0"/>
  </r>
  <r>
    <x v="18"/>
    <n v="18"/>
    <x v="0"/>
    <x v="2"/>
    <x v="7"/>
    <x v="0"/>
    <x v="3"/>
    <x v="11"/>
    <n v="4"/>
    <n v="500"/>
    <n v="800"/>
    <n v="3200"/>
    <n v="2000"/>
    <n v="1200"/>
    <n v="0.375"/>
    <x v="0"/>
  </r>
  <r>
    <x v="9"/>
    <n v="18"/>
    <x v="0"/>
    <x v="0"/>
    <x v="10"/>
    <x v="1"/>
    <x v="0"/>
    <x v="12"/>
    <n v="2"/>
    <n v="480"/>
    <n v="760"/>
    <n v="1520"/>
    <n v="960"/>
    <n v="560"/>
    <n v="0.36842105263157893"/>
    <x v="0"/>
  </r>
  <r>
    <x v="19"/>
    <n v="18"/>
    <x v="0"/>
    <x v="2"/>
    <x v="7"/>
    <x v="0"/>
    <x v="3"/>
    <x v="11"/>
    <n v="1"/>
    <n v="500"/>
    <n v="800"/>
    <n v="800"/>
    <n v="500"/>
    <n v="300"/>
    <n v="0.375"/>
    <x v="0"/>
  </r>
  <r>
    <x v="20"/>
    <n v="19"/>
    <x v="0"/>
    <x v="4"/>
    <x v="11"/>
    <x v="0"/>
    <x v="1"/>
    <x v="4"/>
    <n v="3"/>
    <n v="900"/>
    <n v="1400"/>
    <n v="4200"/>
    <n v="2700"/>
    <n v="1500"/>
    <n v="0.35714285714285715"/>
    <x v="0"/>
  </r>
  <r>
    <x v="1"/>
    <n v="19"/>
    <x v="0"/>
    <x v="2"/>
    <x v="7"/>
    <x v="1"/>
    <x v="2"/>
    <x v="13"/>
    <n v="4"/>
    <n v="450"/>
    <n v="720"/>
    <n v="2880"/>
    <n v="1800"/>
    <n v="1080"/>
    <n v="0.375"/>
    <x v="0"/>
  </r>
  <r>
    <x v="21"/>
    <n v="19"/>
    <x v="1"/>
    <x v="0"/>
    <x v="2"/>
    <x v="0"/>
    <x v="0"/>
    <x v="6"/>
    <n v="1"/>
    <n v="700"/>
    <n v="1100"/>
    <n v="1100"/>
    <n v="700"/>
    <n v="400"/>
    <n v="0.36363636363636365"/>
    <x v="0"/>
  </r>
  <r>
    <x v="22"/>
    <n v="19"/>
    <x v="1"/>
    <x v="3"/>
    <x v="12"/>
    <x v="0"/>
    <x v="0"/>
    <x v="14"/>
    <n v="3"/>
    <n v="580"/>
    <n v="920"/>
    <n v="2760"/>
    <n v="1740"/>
    <n v="1020"/>
    <n v="0.36956521739130432"/>
    <x v="0"/>
  </r>
  <r>
    <x v="23"/>
    <n v="19"/>
    <x v="1"/>
    <x v="2"/>
    <x v="7"/>
    <x v="1"/>
    <x v="0"/>
    <x v="15"/>
    <n v="1"/>
    <n v="550"/>
    <n v="850"/>
    <n v="850"/>
    <n v="550"/>
    <n v="300"/>
    <n v="0.35294117647058826"/>
    <x v="0"/>
  </r>
  <r>
    <x v="24"/>
    <n v="19"/>
    <x v="1"/>
    <x v="0"/>
    <x v="1"/>
    <x v="0"/>
    <x v="1"/>
    <x v="16"/>
    <n v="2"/>
    <n v="900"/>
    <n v="1400"/>
    <n v="2800"/>
    <n v="1800"/>
    <n v="1000"/>
    <n v="0.35714285714285715"/>
    <x v="0"/>
  </r>
  <r>
    <x v="25"/>
    <n v="19"/>
    <x v="0"/>
    <x v="2"/>
    <x v="7"/>
    <x v="0"/>
    <x v="3"/>
    <x v="17"/>
    <n v="1"/>
    <n v="500"/>
    <n v="800"/>
    <n v="800"/>
    <n v="500"/>
    <n v="300"/>
    <n v="0.375"/>
    <x v="0"/>
  </r>
  <r>
    <x v="26"/>
    <n v="19"/>
    <x v="1"/>
    <x v="0"/>
    <x v="1"/>
    <x v="1"/>
    <x v="2"/>
    <x v="18"/>
    <n v="4"/>
    <n v="480"/>
    <n v="760"/>
    <n v="3040"/>
    <n v="1920"/>
    <n v="1120"/>
    <n v="0.36842105263157893"/>
    <x v="0"/>
  </r>
  <r>
    <x v="9"/>
    <n v="19"/>
    <x v="1"/>
    <x v="0"/>
    <x v="0"/>
    <x v="1"/>
    <x v="0"/>
    <x v="19"/>
    <n v="4"/>
    <n v="480"/>
    <n v="760"/>
    <n v="3040"/>
    <n v="1920"/>
    <n v="1120"/>
    <n v="0.36842105263157893"/>
    <x v="0"/>
  </r>
  <r>
    <x v="19"/>
    <n v="19"/>
    <x v="1"/>
    <x v="0"/>
    <x v="1"/>
    <x v="1"/>
    <x v="2"/>
    <x v="18"/>
    <n v="1"/>
    <n v="480"/>
    <n v="760"/>
    <n v="760"/>
    <n v="480"/>
    <n v="280"/>
    <n v="0.36842105263157893"/>
    <x v="0"/>
  </r>
  <r>
    <x v="27"/>
    <n v="19"/>
    <x v="0"/>
    <x v="2"/>
    <x v="7"/>
    <x v="0"/>
    <x v="3"/>
    <x v="17"/>
    <n v="1"/>
    <n v="500"/>
    <n v="800"/>
    <n v="800"/>
    <n v="500"/>
    <n v="300"/>
    <n v="0.375"/>
    <x v="0"/>
  </r>
  <r>
    <x v="28"/>
    <n v="19"/>
    <x v="1"/>
    <x v="0"/>
    <x v="10"/>
    <x v="1"/>
    <x v="2"/>
    <x v="20"/>
    <n v="2"/>
    <n v="550"/>
    <n v="850"/>
    <n v="1700"/>
    <n v="1100"/>
    <n v="600"/>
    <n v="0.35294117647058826"/>
    <x v="0"/>
  </r>
  <r>
    <x v="29"/>
    <n v="19"/>
    <x v="0"/>
    <x v="0"/>
    <x v="0"/>
    <x v="1"/>
    <x v="2"/>
    <x v="21"/>
    <n v="3"/>
    <n v="480"/>
    <n v="760"/>
    <n v="2280"/>
    <n v="1440"/>
    <n v="840"/>
    <n v="0.36842105263157893"/>
    <x v="0"/>
  </r>
  <r>
    <x v="0"/>
    <n v="20"/>
    <x v="0"/>
    <x v="0"/>
    <x v="0"/>
    <x v="0"/>
    <x v="0"/>
    <x v="22"/>
    <n v="1"/>
    <n v="700"/>
    <n v="1100"/>
    <n v="1100"/>
    <n v="700"/>
    <n v="400"/>
    <n v="0.36363636363636365"/>
    <x v="0"/>
  </r>
  <r>
    <x v="30"/>
    <n v="20"/>
    <x v="0"/>
    <x v="0"/>
    <x v="0"/>
    <x v="0"/>
    <x v="0"/>
    <x v="22"/>
    <n v="1"/>
    <n v="700"/>
    <n v="1100"/>
    <n v="1100"/>
    <n v="700"/>
    <n v="400"/>
    <n v="0.36363636363636365"/>
    <x v="0"/>
  </r>
  <r>
    <x v="31"/>
    <n v="20"/>
    <x v="1"/>
    <x v="3"/>
    <x v="13"/>
    <x v="0"/>
    <x v="3"/>
    <x v="23"/>
    <n v="2"/>
    <n v="530"/>
    <n v="840"/>
    <n v="1680"/>
    <n v="1060"/>
    <n v="620"/>
    <n v="0.36904761904761907"/>
    <x v="0"/>
  </r>
  <r>
    <x v="31"/>
    <n v="20"/>
    <x v="0"/>
    <x v="0"/>
    <x v="2"/>
    <x v="0"/>
    <x v="0"/>
    <x v="22"/>
    <n v="1"/>
    <n v="700"/>
    <n v="1100"/>
    <n v="1100"/>
    <n v="700"/>
    <n v="400"/>
    <n v="0.36363636363636365"/>
    <x v="0"/>
  </r>
  <r>
    <x v="32"/>
    <n v="20"/>
    <x v="0"/>
    <x v="0"/>
    <x v="1"/>
    <x v="0"/>
    <x v="0"/>
    <x v="6"/>
    <n v="3"/>
    <n v="700"/>
    <n v="1100"/>
    <n v="3300"/>
    <n v="2100"/>
    <n v="1200"/>
    <n v="0.36363636363636365"/>
    <x v="0"/>
  </r>
  <r>
    <x v="33"/>
    <n v="20"/>
    <x v="0"/>
    <x v="3"/>
    <x v="14"/>
    <x v="0"/>
    <x v="1"/>
    <x v="8"/>
    <n v="1"/>
    <n v="580"/>
    <n v="920"/>
    <n v="920"/>
    <n v="580"/>
    <n v="340"/>
    <n v="0.36956521739130432"/>
    <x v="0"/>
  </r>
  <r>
    <x v="34"/>
    <n v="21"/>
    <x v="1"/>
    <x v="2"/>
    <x v="7"/>
    <x v="0"/>
    <x v="3"/>
    <x v="11"/>
    <n v="4"/>
    <n v="500"/>
    <n v="800"/>
    <n v="3200"/>
    <n v="2000"/>
    <n v="1200"/>
    <n v="0.375"/>
    <x v="0"/>
  </r>
  <r>
    <x v="35"/>
    <n v="21"/>
    <x v="0"/>
    <x v="2"/>
    <x v="7"/>
    <x v="0"/>
    <x v="0"/>
    <x v="24"/>
    <n v="1"/>
    <n v="580"/>
    <n v="920"/>
    <n v="920"/>
    <n v="580"/>
    <n v="340"/>
    <n v="0.36956521739130432"/>
    <x v="0"/>
  </r>
  <r>
    <x v="36"/>
    <n v="21"/>
    <x v="1"/>
    <x v="2"/>
    <x v="7"/>
    <x v="0"/>
    <x v="3"/>
    <x v="11"/>
    <n v="1"/>
    <n v="500"/>
    <n v="800"/>
    <n v="800"/>
    <n v="500"/>
    <n v="300"/>
    <n v="0.375"/>
    <x v="0"/>
  </r>
  <r>
    <x v="37"/>
    <n v="21"/>
    <x v="1"/>
    <x v="2"/>
    <x v="7"/>
    <x v="0"/>
    <x v="3"/>
    <x v="11"/>
    <n v="2"/>
    <n v="500"/>
    <n v="800"/>
    <n v="1600"/>
    <n v="1000"/>
    <n v="600"/>
    <n v="0.375"/>
    <x v="0"/>
  </r>
  <r>
    <x v="30"/>
    <n v="21"/>
    <x v="0"/>
    <x v="0"/>
    <x v="1"/>
    <x v="0"/>
    <x v="0"/>
    <x v="14"/>
    <n v="1"/>
    <n v="580"/>
    <n v="920"/>
    <n v="920"/>
    <n v="580"/>
    <n v="340"/>
    <n v="0.36956521739130432"/>
    <x v="0"/>
  </r>
  <r>
    <x v="38"/>
    <n v="21"/>
    <x v="1"/>
    <x v="0"/>
    <x v="1"/>
    <x v="0"/>
    <x v="0"/>
    <x v="14"/>
    <n v="1"/>
    <n v="580"/>
    <n v="920"/>
    <n v="920"/>
    <n v="580"/>
    <n v="340"/>
    <n v="0.36956521739130432"/>
    <x v="0"/>
  </r>
  <r>
    <x v="7"/>
    <n v="21"/>
    <x v="0"/>
    <x v="0"/>
    <x v="10"/>
    <x v="0"/>
    <x v="0"/>
    <x v="10"/>
    <n v="4"/>
    <n v="580"/>
    <n v="920"/>
    <n v="3680"/>
    <n v="2320"/>
    <n v="1360"/>
    <n v="0.36956521739130432"/>
    <x v="0"/>
  </r>
  <r>
    <x v="3"/>
    <n v="22"/>
    <x v="0"/>
    <x v="0"/>
    <x v="1"/>
    <x v="0"/>
    <x v="1"/>
    <x v="16"/>
    <n v="3"/>
    <n v="900"/>
    <n v="1400"/>
    <n v="4200"/>
    <n v="2700"/>
    <n v="1500"/>
    <n v="0.35714285714285715"/>
    <x v="0"/>
  </r>
  <r>
    <x v="3"/>
    <n v="22"/>
    <x v="1"/>
    <x v="2"/>
    <x v="7"/>
    <x v="1"/>
    <x v="2"/>
    <x v="3"/>
    <n v="2"/>
    <n v="550"/>
    <n v="850"/>
    <n v="1700"/>
    <n v="1100"/>
    <n v="600"/>
    <n v="0.35294117647058826"/>
    <x v="0"/>
  </r>
  <r>
    <x v="3"/>
    <n v="22"/>
    <x v="1"/>
    <x v="3"/>
    <x v="13"/>
    <x v="1"/>
    <x v="0"/>
    <x v="25"/>
    <n v="1"/>
    <n v="550"/>
    <n v="850"/>
    <n v="850"/>
    <n v="550"/>
    <n v="300"/>
    <n v="0.35294117647058826"/>
    <x v="0"/>
  </r>
  <r>
    <x v="39"/>
    <n v="22"/>
    <x v="0"/>
    <x v="1"/>
    <x v="4"/>
    <x v="0"/>
    <x v="3"/>
    <x v="23"/>
    <n v="2"/>
    <n v="530"/>
    <n v="840"/>
    <n v="1680"/>
    <n v="1060"/>
    <n v="620"/>
    <n v="0.36904761904761907"/>
    <x v="0"/>
  </r>
  <r>
    <x v="22"/>
    <n v="22"/>
    <x v="1"/>
    <x v="3"/>
    <x v="12"/>
    <x v="1"/>
    <x v="0"/>
    <x v="25"/>
    <n v="2"/>
    <n v="550"/>
    <n v="850"/>
    <n v="1700"/>
    <n v="1100"/>
    <n v="600"/>
    <n v="0.35294117647058826"/>
    <x v="0"/>
  </r>
  <r>
    <x v="4"/>
    <n v="22"/>
    <x v="0"/>
    <x v="0"/>
    <x v="0"/>
    <x v="0"/>
    <x v="0"/>
    <x v="26"/>
    <n v="1"/>
    <n v="620"/>
    <n v="980"/>
    <n v="980"/>
    <n v="620"/>
    <n v="360"/>
    <n v="0.36734693877551022"/>
    <x v="0"/>
  </r>
  <r>
    <x v="40"/>
    <n v="22"/>
    <x v="0"/>
    <x v="0"/>
    <x v="0"/>
    <x v="0"/>
    <x v="0"/>
    <x v="26"/>
    <n v="3"/>
    <n v="620"/>
    <n v="980"/>
    <n v="2940"/>
    <n v="1860"/>
    <n v="1080"/>
    <n v="0.36734693877551022"/>
    <x v="0"/>
  </r>
  <r>
    <x v="24"/>
    <n v="22"/>
    <x v="0"/>
    <x v="2"/>
    <x v="7"/>
    <x v="0"/>
    <x v="1"/>
    <x v="27"/>
    <n v="1"/>
    <n v="580"/>
    <n v="920"/>
    <n v="920"/>
    <n v="580"/>
    <n v="340"/>
    <n v="0.36956521739130432"/>
    <x v="0"/>
  </r>
  <r>
    <x v="41"/>
    <n v="22"/>
    <x v="1"/>
    <x v="2"/>
    <x v="9"/>
    <x v="0"/>
    <x v="0"/>
    <x v="28"/>
    <n v="1"/>
    <n v="580"/>
    <n v="920"/>
    <n v="920"/>
    <n v="580"/>
    <n v="340"/>
    <n v="0.36956521739130432"/>
    <x v="0"/>
  </r>
  <r>
    <x v="27"/>
    <n v="22"/>
    <x v="0"/>
    <x v="2"/>
    <x v="7"/>
    <x v="0"/>
    <x v="1"/>
    <x v="27"/>
    <n v="2"/>
    <n v="580"/>
    <n v="920"/>
    <n v="1840"/>
    <n v="1160"/>
    <n v="680"/>
    <n v="0.36956521739130432"/>
    <x v="0"/>
  </r>
  <r>
    <x v="42"/>
    <n v="22"/>
    <x v="1"/>
    <x v="2"/>
    <x v="7"/>
    <x v="0"/>
    <x v="0"/>
    <x v="22"/>
    <n v="1"/>
    <n v="700"/>
    <n v="1100"/>
    <n v="1100"/>
    <n v="700"/>
    <n v="400"/>
    <n v="0.36363636363636365"/>
    <x v="0"/>
  </r>
  <r>
    <x v="43"/>
    <n v="23"/>
    <x v="0"/>
    <x v="0"/>
    <x v="1"/>
    <x v="0"/>
    <x v="0"/>
    <x v="14"/>
    <n v="1"/>
    <n v="580"/>
    <n v="920"/>
    <n v="920"/>
    <n v="580"/>
    <n v="340"/>
    <n v="0.36956521739130432"/>
    <x v="0"/>
  </r>
  <r>
    <x v="44"/>
    <n v="23"/>
    <x v="0"/>
    <x v="1"/>
    <x v="15"/>
    <x v="1"/>
    <x v="0"/>
    <x v="25"/>
    <n v="3"/>
    <n v="550"/>
    <n v="850"/>
    <n v="2550"/>
    <n v="1650"/>
    <n v="900"/>
    <n v="0.35294117647058826"/>
    <x v="0"/>
  </r>
  <r>
    <x v="45"/>
    <n v="23"/>
    <x v="1"/>
    <x v="0"/>
    <x v="1"/>
    <x v="0"/>
    <x v="3"/>
    <x v="29"/>
    <n v="1"/>
    <n v="530"/>
    <n v="840"/>
    <n v="840"/>
    <n v="530"/>
    <n v="310"/>
    <n v="0.36904761904761907"/>
    <x v="0"/>
  </r>
  <r>
    <x v="46"/>
    <n v="23"/>
    <x v="0"/>
    <x v="2"/>
    <x v="7"/>
    <x v="0"/>
    <x v="3"/>
    <x v="17"/>
    <n v="3"/>
    <n v="500"/>
    <n v="800"/>
    <n v="2400"/>
    <n v="1500"/>
    <n v="900"/>
    <n v="0.375"/>
    <x v="0"/>
  </r>
  <r>
    <x v="22"/>
    <n v="23"/>
    <x v="1"/>
    <x v="2"/>
    <x v="5"/>
    <x v="0"/>
    <x v="1"/>
    <x v="16"/>
    <n v="3"/>
    <n v="900"/>
    <n v="1400"/>
    <n v="4200"/>
    <n v="2700"/>
    <n v="1500"/>
    <n v="0.35714285714285715"/>
    <x v="0"/>
  </r>
  <r>
    <x v="31"/>
    <n v="23"/>
    <x v="0"/>
    <x v="2"/>
    <x v="9"/>
    <x v="0"/>
    <x v="3"/>
    <x v="29"/>
    <n v="1"/>
    <n v="530"/>
    <n v="840"/>
    <n v="840"/>
    <n v="530"/>
    <n v="310"/>
    <n v="0.36904761904761907"/>
    <x v="0"/>
  </r>
  <r>
    <x v="4"/>
    <n v="23"/>
    <x v="1"/>
    <x v="2"/>
    <x v="7"/>
    <x v="0"/>
    <x v="3"/>
    <x v="17"/>
    <n v="1"/>
    <n v="500"/>
    <n v="800"/>
    <n v="800"/>
    <n v="500"/>
    <n v="300"/>
    <n v="0.375"/>
    <x v="0"/>
  </r>
  <r>
    <x v="40"/>
    <n v="23"/>
    <x v="0"/>
    <x v="2"/>
    <x v="7"/>
    <x v="1"/>
    <x v="2"/>
    <x v="20"/>
    <n v="1"/>
    <n v="550"/>
    <n v="850"/>
    <n v="850"/>
    <n v="550"/>
    <n v="300"/>
    <n v="0.35294117647058826"/>
    <x v="0"/>
  </r>
  <r>
    <x v="40"/>
    <n v="23"/>
    <x v="0"/>
    <x v="0"/>
    <x v="1"/>
    <x v="0"/>
    <x v="0"/>
    <x v="14"/>
    <n v="1"/>
    <n v="580"/>
    <n v="920"/>
    <n v="920"/>
    <n v="580"/>
    <n v="340"/>
    <n v="0.36956521739130432"/>
    <x v="0"/>
  </r>
  <r>
    <x v="33"/>
    <n v="23"/>
    <x v="0"/>
    <x v="5"/>
    <x v="16"/>
    <x v="0"/>
    <x v="1"/>
    <x v="30"/>
    <n v="1"/>
    <n v="900"/>
    <n v="1400"/>
    <n v="1400"/>
    <n v="900"/>
    <n v="500"/>
    <n v="0.35714285714285715"/>
    <x v="0"/>
  </r>
  <r>
    <x v="33"/>
    <n v="23"/>
    <x v="1"/>
    <x v="2"/>
    <x v="7"/>
    <x v="0"/>
    <x v="3"/>
    <x v="17"/>
    <n v="1"/>
    <n v="500"/>
    <n v="800"/>
    <n v="800"/>
    <n v="500"/>
    <n v="300"/>
    <n v="0.375"/>
    <x v="0"/>
  </r>
  <r>
    <x v="47"/>
    <n v="23"/>
    <x v="0"/>
    <x v="5"/>
    <x v="16"/>
    <x v="1"/>
    <x v="2"/>
    <x v="31"/>
    <n v="3"/>
    <n v="450"/>
    <n v="720"/>
    <n v="2160"/>
    <n v="1350"/>
    <n v="810"/>
    <n v="0.375"/>
    <x v="0"/>
  </r>
  <r>
    <x v="47"/>
    <n v="23"/>
    <x v="0"/>
    <x v="1"/>
    <x v="17"/>
    <x v="0"/>
    <x v="1"/>
    <x v="4"/>
    <n v="2"/>
    <n v="900"/>
    <n v="1400"/>
    <n v="2800"/>
    <n v="1800"/>
    <n v="1000"/>
    <n v="0.35714285714285715"/>
    <x v="0"/>
  </r>
  <r>
    <x v="48"/>
    <n v="23"/>
    <x v="1"/>
    <x v="2"/>
    <x v="5"/>
    <x v="0"/>
    <x v="1"/>
    <x v="16"/>
    <n v="1"/>
    <n v="900"/>
    <n v="1400"/>
    <n v="1400"/>
    <n v="900"/>
    <n v="500"/>
    <n v="0.35714285714285715"/>
    <x v="0"/>
  </r>
  <r>
    <x v="16"/>
    <n v="23"/>
    <x v="0"/>
    <x v="2"/>
    <x v="5"/>
    <x v="0"/>
    <x v="0"/>
    <x v="6"/>
    <n v="2"/>
    <n v="700"/>
    <n v="1100"/>
    <n v="2200"/>
    <n v="1400"/>
    <n v="800"/>
    <n v="0.36363636363636365"/>
    <x v="0"/>
  </r>
  <r>
    <x v="49"/>
    <n v="23"/>
    <x v="0"/>
    <x v="5"/>
    <x v="16"/>
    <x v="0"/>
    <x v="1"/>
    <x v="30"/>
    <n v="4"/>
    <n v="900"/>
    <n v="1400"/>
    <n v="5600"/>
    <n v="3600"/>
    <n v="2000"/>
    <n v="0.35714285714285715"/>
    <x v="0"/>
  </r>
  <r>
    <x v="50"/>
    <n v="23"/>
    <x v="0"/>
    <x v="5"/>
    <x v="16"/>
    <x v="1"/>
    <x v="2"/>
    <x v="31"/>
    <n v="2"/>
    <n v="450"/>
    <n v="720"/>
    <n v="1440"/>
    <n v="900"/>
    <n v="540"/>
    <n v="0.375"/>
    <x v="0"/>
  </r>
  <r>
    <x v="27"/>
    <n v="23"/>
    <x v="0"/>
    <x v="2"/>
    <x v="9"/>
    <x v="0"/>
    <x v="3"/>
    <x v="29"/>
    <n v="3"/>
    <n v="530"/>
    <n v="840"/>
    <n v="2520"/>
    <n v="1590"/>
    <n v="930"/>
    <n v="0.36904761904761907"/>
    <x v="0"/>
  </r>
  <r>
    <x v="42"/>
    <n v="23"/>
    <x v="1"/>
    <x v="3"/>
    <x v="8"/>
    <x v="0"/>
    <x v="1"/>
    <x v="32"/>
    <n v="3"/>
    <n v="580"/>
    <n v="920"/>
    <n v="2760"/>
    <n v="1740"/>
    <n v="1020"/>
    <n v="0.36956521739130432"/>
    <x v="0"/>
  </r>
  <r>
    <x v="42"/>
    <n v="23"/>
    <x v="1"/>
    <x v="1"/>
    <x v="15"/>
    <x v="0"/>
    <x v="1"/>
    <x v="30"/>
    <n v="1"/>
    <n v="900"/>
    <n v="1400"/>
    <n v="1400"/>
    <n v="900"/>
    <n v="500"/>
    <n v="0.35714285714285715"/>
    <x v="0"/>
  </r>
  <r>
    <x v="51"/>
    <n v="23"/>
    <x v="0"/>
    <x v="5"/>
    <x v="16"/>
    <x v="0"/>
    <x v="1"/>
    <x v="30"/>
    <n v="3"/>
    <n v="900"/>
    <n v="1400"/>
    <n v="4200"/>
    <n v="2700"/>
    <n v="1500"/>
    <n v="0.35714285714285715"/>
    <x v="0"/>
  </r>
  <r>
    <x v="52"/>
    <n v="24"/>
    <x v="1"/>
    <x v="0"/>
    <x v="0"/>
    <x v="0"/>
    <x v="3"/>
    <x v="11"/>
    <n v="2"/>
    <n v="500"/>
    <n v="800"/>
    <n v="1600"/>
    <n v="1000"/>
    <n v="600"/>
    <n v="0.375"/>
    <x v="0"/>
  </r>
  <r>
    <x v="53"/>
    <n v="24"/>
    <x v="1"/>
    <x v="0"/>
    <x v="3"/>
    <x v="0"/>
    <x v="3"/>
    <x v="33"/>
    <n v="3"/>
    <n v="500"/>
    <n v="800"/>
    <n v="2400"/>
    <n v="1500"/>
    <n v="900"/>
    <n v="0.375"/>
    <x v="0"/>
  </r>
  <r>
    <x v="44"/>
    <n v="24"/>
    <x v="1"/>
    <x v="0"/>
    <x v="2"/>
    <x v="0"/>
    <x v="3"/>
    <x v="17"/>
    <n v="1"/>
    <n v="500"/>
    <n v="800"/>
    <n v="800"/>
    <n v="500"/>
    <n v="300"/>
    <n v="0.375"/>
    <x v="0"/>
  </r>
  <r>
    <x v="11"/>
    <n v="24"/>
    <x v="1"/>
    <x v="0"/>
    <x v="1"/>
    <x v="0"/>
    <x v="0"/>
    <x v="10"/>
    <n v="2"/>
    <n v="580"/>
    <n v="920"/>
    <n v="1840"/>
    <n v="1160"/>
    <n v="680"/>
    <n v="0.36956521739130432"/>
    <x v="0"/>
  </r>
  <r>
    <x v="54"/>
    <n v="24"/>
    <x v="1"/>
    <x v="3"/>
    <x v="12"/>
    <x v="0"/>
    <x v="3"/>
    <x v="17"/>
    <n v="2"/>
    <n v="500"/>
    <n v="800"/>
    <n v="1600"/>
    <n v="1000"/>
    <n v="600"/>
    <n v="0.375"/>
    <x v="0"/>
  </r>
  <r>
    <x v="21"/>
    <n v="24"/>
    <x v="1"/>
    <x v="1"/>
    <x v="18"/>
    <x v="0"/>
    <x v="1"/>
    <x v="8"/>
    <n v="3"/>
    <n v="580"/>
    <n v="920"/>
    <n v="2760"/>
    <n v="1740"/>
    <n v="1020"/>
    <n v="0.36956521739130432"/>
    <x v="0"/>
  </r>
  <r>
    <x v="21"/>
    <n v="24"/>
    <x v="1"/>
    <x v="0"/>
    <x v="0"/>
    <x v="0"/>
    <x v="3"/>
    <x v="11"/>
    <n v="1"/>
    <n v="500"/>
    <n v="800"/>
    <n v="800"/>
    <n v="500"/>
    <n v="300"/>
    <n v="0.375"/>
    <x v="0"/>
  </r>
  <r>
    <x v="3"/>
    <n v="24"/>
    <x v="1"/>
    <x v="0"/>
    <x v="2"/>
    <x v="0"/>
    <x v="3"/>
    <x v="17"/>
    <n v="1"/>
    <n v="500"/>
    <n v="800"/>
    <n v="800"/>
    <n v="500"/>
    <n v="300"/>
    <n v="0.375"/>
    <x v="0"/>
  </r>
  <r>
    <x v="39"/>
    <n v="24"/>
    <x v="1"/>
    <x v="0"/>
    <x v="1"/>
    <x v="0"/>
    <x v="0"/>
    <x v="10"/>
    <n v="4"/>
    <n v="580"/>
    <n v="920"/>
    <n v="3680"/>
    <n v="2320"/>
    <n v="1360"/>
    <n v="0.36956521739130432"/>
    <x v="0"/>
  </r>
  <r>
    <x v="39"/>
    <n v="24"/>
    <x v="1"/>
    <x v="0"/>
    <x v="2"/>
    <x v="0"/>
    <x v="3"/>
    <x v="17"/>
    <n v="4"/>
    <n v="500"/>
    <n v="800"/>
    <n v="3200"/>
    <n v="2000"/>
    <n v="1200"/>
    <n v="0.375"/>
    <x v="0"/>
  </r>
  <r>
    <x v="55"/>
    <n v="24"/>
    <x v="0"/>
    <x v="3"/>
    <x v="8"/>
    <x v="0"/>
    <x v="3"/>
    <x v="17"/>
    <n v="1"/>
    <n v="500"/>
    <n v="800"/>
    <n v="800"/>
    <n v="500"/>
    <n v="300"/>
    <n v="0.375"/>
    <x v="0"/>
  </r>
  <r>
    <x v="5"/>
    <n v="24"/>
    <x v="1"/>
    <x v="2"/>
    <x v="5"/>
    <x v="1"/>
    <x v="0"/>
    <x v="15"/>
    <n v="1"/>
    <n v="550"/>
    <n v="850"/>
    <n v="850"/>
    <n v="550"/>
    <n v="300"/>
    <n v="0.35294117647058826"/>
    <x v="0"/>
  </r>
  <r>
    <x v="56"/>
    <n v="24"/>
    <x v="1"/>
    <x v="0"/>
    <x v="0"/>
    <x v="0"/>
    <x v="3"/>
    <x v="11"/>
    <n v="2"/>
    <n v="500"/>
    <n v="800"/>
    <n v="1600"/>
    <n v="1000"/>
    <n v="600"/>
    <n v="0.375"/>
    <x v="0"/>
  </r>
  <r>
    <x v="56"/>
    <n v="24"/>
    <x v="1"/>
    <x v="0"/>
    <x v="2"/>
    <x v="0"/>
    <x v="3"/>
    <x v="17"/>
    <n v="1"/>
    <n v="500"/>
    <n v="800"/>
    <n v="800"/>
    <n v="500"/>
    <n v="300"/>
    <n v="0.375"/>
    <x v="0"/>
  </r>
  <r>
    <x v="7"/>
    <n v="24"/>
    <x v="1"/>
    <x v="0"/>
    <x v="3"/>
    <x v="0"/>
    <x v="3"/>
    <x v="33"/>
    <n v="3"/>
    <n v="500"/>
    <n v="800"/>
    <n v="2400"/>
    <n v="1500"/>
    <n v="900"/>
    <n v="0.375"/>
    <x v="0"/>
  </r>
  <r>
    <x v="57"/>
    <n v="24"/>
    <x v="0"/>
    <x v="3"/>
    <x v="14"/>
    <x v="0"/>
    <x v="0"/>
    <x v="28"/>
    <n v="2"/>
    <n v="580"/>
    <n v="920"/>
    <n v="1840"/>
    <n v="1160"/>
    <n v="680"/>
    <n v="0.36956521739130432"/>
    <x v="0"/>
  </r>
  <r>
    <x v="57"/>
    <n v="24"/>
    <x v="1"/>
    <x v="5"/>
    <x v="16"/>
    <x v="1"/>
    <x v="0"/>
    <x v="25"/>
    <n v="1"/>
    <n v="550"/>
    <n v="850"/>
    <n v="850"/>
    <n v="550"/>
    <n v="300"/>
    <n v="0.35294117647058826"/>
    <x v="0"/>
  </r>
  <r>
    <x v="15"/>
    <n v="24"/>
    <x v="0"/>
    <x v="1"/>
    <x v="17"/>
    <x v="0"/>
    <x v="0"/>
    <x v="10"/>
    <n v="4"/>
    <n v="580"/>
    <n v="920"/>
    <n v="3680"/>
    <n v="2320"/>
    <n v="1360"/>
    <n v="0.36956521739130432"/>
    <x v="0"/>
  </r>
  <r>
    <x v="15"/>
    <n v="24"/>
    <x v="1"/>
    <x v="1"/>
    <x v="15"/>
    <x v="1"/>
    <x v="0"/>
    <x v="25"/>
    <n v="3"/>
    <n v="550"/>
    <n v="850"/>
    <n v="2550"/>
    <n v="1650"/>
    <n v="900"/>
    <n v="0.35294117647058826"/>
    <x v="0"/>
  </r>
  <r>
    <x v="58"/>
    <n v="24"/>
    <x v="1"/>
    <x v="1"/>
    <x v="17"/>
    <x v="1"/>
    <x v="2"/>
    <x v="20"/>
    <n v="3"/>
    <n v="550"/>
    <n v="850"/>
    <n v="2550"/>
    <n v="1650"/>
    <n v="900"/>
    <n v="0.35294117647058826"/>
    <x v="0"/>
  </r>
  <r>
    <x v="9"/>
    <n v="24"/>
    <x v="1"/>
    <x v="1"/>
    <x v="19"/>
    <x v="0"/>
    <x v="1"/>
    <x v="27"/>
    <n v="4"/>
    <n v="580"/>
    <n v="920"/>
    <n v="3680"/>
    <n v="2320"/>
    <n v="1360"/>
    <n v="0.36956521739130432"/>
    <x v="0"/>
  </r>
  <r>
    <x v="28"/>
    <n v="24"/>
    <x v="0"/>
    <x v="5"/>
    <x v="16"/>
    <x v="0"/>
    <x v="0"/>
    <x v="22"/>
    <n v="1"/>
    <n v="700"/>
    <n v="1100"/>
    <n v="1100"/>
    <n v="700"/>
    <n v="400"/>
    <n v="0.36363636363636365"/>
    <x v="0"/>
  </r>
  <r>
    <x v="59"/>
    <n v="24"/>
    <x v="0"/>
    <x v="4"/>
    <x v="11"/>
    <x v="0"/>
    <x v="3"/>
    <x v="23"/>
    <n v="1"/>
    <n v="530"/>
    <n v="840"/>
    <n v="840"/>
    <n v="530"/>
    <n v="310"/>
    <n v="0.36904761904761907"/>
    <x v="0"/>
  </r>
  <r>
    <x v="42"/>
    <n v="24"/>
    <x v="1"/>
    <x v="1"/>
    <x v="20"/>
    <x v="0"/>
    <x v="1"/>
    <x v="34"/>
    <n v="4"/>
    <n v="580"/>
    <n v="920"/>
    <n v="3680"/>
    <n v="2320"/>
    <n v="1360"/>
    <n v="0.36956521739130432"/>
    <x v="0"/>
  </r>
  <r>
    <x v="51"/>
    <n v="24"/>
    <x v="1"/>
    <x v="1"/>
    <x v="21"/>
    <x v="1"/>
    <x v="0"/>
    <x v="15"/>
    <n v="1"/>
    <n v="550"/>
    <n v="850"/>
    <n v="850"/>
    <n v="550"/>
    <n v="300"/>
    <n v="0.35294117647058826"/>
    <x v="0"/>
  </r>
  <r>
    <x v="60"/>
    <n v="25"/>
    <x v="1"/>
    <x v="4"/>
    <x v="11"/>
    <x v="0"/>
    <x v="1"/>
    <x v="34"/>
    <n v="1"/>
    <n v="580"/>
    <n v="920"/>
    <n v="920"/>
    <n v="580"/>
    <n v="340"/>
    <n v="0.36956521739130432"/>
    <x v="1"/>
  </r>
  <r>
    <x v="54"/>
    <n v="25"/>
    <x v="1"/>
    <x v="0"/>
    <x v="1"/>
    <x v="0"/>
    <x v="0"/>
    <x v="10"/>
    <n v="3"/>
    <n v="580"/>
    <n v="920"/>
    <n v="2760"/>
    <n v="1740"/>
    <n v="1020"/>
    <n v="0.36956521739130432"/>
    <x v="1"/>
  </r>
  <r>
    <x v="54"/>
    <n v="25"/>
    <x v="0"/>
    <x v="2"/>
    <x v="7"/>
    <x v="0"/>
    <x v="0"/>
    <x v="6"/>
    <n v="1"/>
    <n v="700"/>
    <n v="1100"/>
    <n v="1100"/>
    <n v="700"/>
    <n v="400"/>
    <n v="0.36363636363636365"/>
    <x v="1"/>
  </r>
  <r>
    <x v="54"/>
    <n v="25"/>
    <x v="0"/>
    <x v="0"/>
    <x v="2"/>
    <x v="0"/>
    <x v="3"/>
    <x v="11"/>
    <n v="1"/>
    <n v="500"/>
    <n v="800"/>
    <n v="800"/>
    <n v="500"/>
    <n v="300"/>
    <n v="0.375"/>
    <x v="1"/>
  </r>
  <r>
    <x v="12"/>
    <n v="25"/>
    <x v="1"/>
    <x v="2"/>
    <x v="9"/>
    <x v="0"/>
    <x v="3"/>
    <x v="11"/>
    <n v="3"/>
    <n v="500"/>
    <n v="800"/>
    <n v="2400"/>
    <n v="1500"/>
    <n v="900"/>
    <n v="0.375"/>
    <x v="1"/>
  </r>
  <r>
    <x v="2"/>
    <n v="25"/>
    <x v="0"/>
    <x v="0"/>
    <x v="1"/>
    <x v="0"/>
    <x v="3"/>
    <x v="35"/>
    <n v="4"/>
    <n v="500"/>
    <n v="800"/>
    <n v="3200"/>
    <n v="2000"/>
    <n v="1200"/>
    <n v="0.375"/>
    <x v="1"/>
  </r>
  <r>
    <x v="61"/>
    <n v="25"/>
    <x v="0"/>
    <x v="0"/>
    <x v="0"/>
    <x v="0"/>
    <x v="3"/>
    <x v="36"/>
    <n v="3"/>
    <n v="500"/>
    <n v="800"/>
    <n v="2400"/>
    <n v="1500"/>
    <n v="900"/>
    <n v="0.375"/>
    <x v="1"/>
  </r>
  <r>
    <x v="30"/>
    <n v="25"/>
    <x v="1"/>
    <x v="3"/>
    <x v="14"/>
    <x v="0"/>
    <x v="0"/>
    <x v="14"/>
    <n v="1"/>
    <n v="580"/>
    <n v="920"/>
    <n v="920"/>
    <n v="580"/>
    <n v="340"/>
    <n v="0.36956521739130432"/>
    <x v="1"/>
  </r>
  <r>
    <x v="31"/>
    <n v="25"/>
    <x v="0"/>
    <x v="0"/>
    <x v="2"/>
    <x v="0"/>
    <x v="3"/>
    <x v="11"/>
    <n v="3"/>
    <n v="500"/>
    <n v="800"/>
    <n v="2400"/>
    <n v="1500"/>
    <n v="900"/>
    <n v="0.375"/>
    <x v="1"/>
  </r>
  <r>
    <x v="31"/>
    <n v="25"/>
    <x v="0"/>
    <x v="1"/>
    <x v="15"/>
    <x v="0"/>
    <x v="3"/>
    <x v="35"/>
    <n v="1"/>
    <n v="500"/>
    <n v="800"/>
    <n v="800"/>
    <n v="500"/>
    <n v="300"/>
    <n v="0.375"/>
    <x v="1"/>
  </r>
  <r>
    <x v="4"/>
    <n v="25"/>
    <x v="0"/>
    <x v="0"/>
    <x v="0"/>
    <x v="0"/>
    <x v="3"/>
    <x v="36"/>
    <n v="1"/>
    <n v="500"/>
    <n v="800"/>
    <n v="800"/>
    <n v="500"/>
    <n v="300"/>
    <n v="0.375"/>
    <x v="1"/>
  </r>
  <r>
    <x v="62"/>
    <n v="25"/>
    <x v="0"/>
    <x v="3"/>
    <x v="8"/>
    <x v="0"/>
    <x v="3"/>
    <x v="37"/>
    <n v="2"/>
    <n v="530"/>
    <n v="840"/>
    <n v="1680"/>
    <n v="1060"/>
    <n v="620"/>
    <n v="0.36904761904761907"/>
    <x v="1"/>
  </r>
  <r>
    <x v="62"/>
    <n v="25"/>
    <x v="1"/>
    <x v="1"/>
    <x v="21"/>
    <x v="0"/>
    <x v="3"/>
    <x v="38"/>
    <n v="1"/>
    <n v="530"/>
    <n v="840"/>
    <n v="840"/>
    <n v="530"/>
    <n v="310"/>
    <n v="0.36904761904761907"/>
    <x v="1"/>
  </r>
  <r>
    <x v="56"/>
    <n v="25"/>
    <x v="0"/>
    <x v="0"/>
    <x v="1"/>
    <x v="0"/>
    <x v="3"/>
    <x v="35"/>
    <n v="1"/>
    <n v="500"/>
    <n v="800"/>
    <n v="800"/>
    <n v="500"/>
    <n v="300"/>
    <n v="0.375"/>
    <x v="1"/>
  </r>
  <r>
    <x v="25"/>
    <n v="25"/>
    <x v="0"/>
    <x v="5"/>
    <x v="16"/>
    <x v="0"/>
    <x v="1"/>
    <x v="8"/>
    <n v="3"/>
    <n v="580"/>
    <n v="920"/>
    <n v="2760"/>
    <n v="1740"/>
    <n v="1020"/>
    <n v="0.36956521739130432"/>
    <x v="1"/>
  </r>
  <r>
    <x v="25"/>
    <n v="25"/>
    <x v="1"/>
    <x v="5"/>
    <x v="16"/>
    <x v="0"/>
    <x v="0"/>
    <x v="39"/>
    <n v="1"/>
    <n v="620"/>
    <n v="980"/>
    <n v="980"/>
    <n v="620"/>
    <n v="360"/>
    <n v="0.36734693877551022"/>
    <x v="1"/>
  </r>
  <r>
    <x v="26"/>
    <n v="25"/>
    <x v="1"/>
    <x v="0"/>
    <x v="0"/>
    <x v="0"/>
    <x v="3"/>
    <x v="23"/>
    <n v="4"/>
    <n v="530"/>
    <n v="840"/>
    <n v="3360"/>
    <n v="2120"/>
    <n v="1240"/>
    <n v="0.36904761904761907"/>
    <x v="1"/>
  </r>
  <r>
    <x v="9"/>
    <n v="25"/>
    <x v="0"/>
    <x v="1"/>
    <x v="15"/>
    <x v="1"/>
    <x v="0"/>
    <x v="25"/>
    <n v="4"/>
    <n v="550"/>
    <n v="850"/>
    <n v="3400"/>
    <n v="2200"/>
    <n v="1200"/>
    <n v="0.35294117647058826"/>
    <x v="1"/>
  </r>
  <r>
    <x v="19"/>
    <n v="25"/>
    <x v="0"/>
    <x v="1"/>
    <x v="15"/>
    <x v="1"/>
    <x v="0"/>
    <x v="25"/>
    <n v="1"/>
    <n v="550"/>
    <n v="850"/>
    <n v="850"/>
    <n v="550"/>
    <n v="300"/>
    <n v="0.35294117647058826"/>
    <x v="1"/>
  </r>
  <r>
    <x v="28"/>
    <n v="25"/>
    <x v="0"/>
    <x v="1"/>
    <x v="17"/>
    <x v="1"/>
    <x v="2"/>
    <x v="40"/>
    <n v="3"/>
    <n v="550"/>
    <n v="850"/>
    <n v="2550"/>
    <n v="1650"/>
    <n v="900"/>
    <n v="0.35294117647058826"/>
    <x v="1"/>
  </r>
  <r>
    <x v="63"/>
    <n v="25"/>
    <x v="0"/>
    <x v="3"/>
    <x v="6"/>
    <x v="0"/>
    <x v="0"/>
    <x v="10"/>
    <n v="3"/>
    <n v="580"/>
    <n v="920"/>
    <n v="2760"/>
    <n v="1740"/>
    <n v="1020"/>
    <n v="0.36956521739130432"/>
    <x v="1"/>
  </r>
  <r>
    <x v="59"/>
    <n v="25"/>
    <x v="1"/>
    <x v="5"/>
    <x v="16"/>
    <x v="1"/>
    <x v="0"/>
    <x v="41"/>
    <n v="1"/>
    <n v="550"/>
    <n v="850"/>
    <n v="850"/>
    <n v="550"/>
    <n v="300"/>
    <n v="0.35294117647058826"/>
    <x v="1"/>
  </r>
  <r>
    <x v="42"/>
    <n v="25"/>
    <x v="0"/>
    <x v="4"/>
    <x v="11"/>
    <x v="0"/>
    <x v="1"/>
    <x v="5"/>
    <n v="3"/>
    <n v="900"/>
    <n v="1400"/>
    <n v="4200"/>
    <n v="2700"/>
    <n v="1500"/>
    <n v="0.35714285714285715"/>
    <x v="1"/>
  </r>
  <r>
    <x v="51"/>
    <n v="25"/>
    <x v="1"/>
    <x v="5"/>
    <x v="16"/>
    <x v="1"/>
    <x v="0"/>
    <x v="41"/>
    <n v="2"/>
    <n v="550"/>
    <n v="850"/>
    <n v="1700"/>
    <n v="1100"/>
    <n v="600"/>
    <n v="0.35294117647058826"/>
    <x v="1"/>
  </r>
  <r>
    <x v="64"/>
    <n v="25"/>
    <x v="1"/>
    <x v="3"/>
    <x v="8"/>
    <x v="0"/>
    <x v="3"/>
    <x v="36"/>
    <n v="1"/>
    <n v="500"/>
    <n v="800"/>
    <n v="800"/>
    <n v="500"/>
    <n v="300"/>
    <n v="0.375"/>
    <x v="1"/>
  </r>
  <r>
    <x v="52"/>
    <n v="26"/>
    <x v="1"/>
    <x v="0"/>
    <x v="1"/>
    <x v="1"/>
    <x v="0"/>
    <x v="15"/>
    <n v="3"/>
    <n v="550"/>
    <n v="850"/>
    <n v="2550"/>
    <n v="1650"/>
    <n v="900"/>
    <n v="0.35294117647058826"/>
    <x v="1"/>
  </r>
  <r>
    <x v="52"/>
    <n v="26"/>
    <x v="0"/>
    <x v="0"/>
    <x v="0"/>
    <x v="0"/>
    <x v="0"/>
    <x v="6"/>
    <n v="1"/>
    <n v="700"/>
    <n v="1100"/>
    <n v="1100"/>
    <n v="700"/>
    <n v="400"/>
    <n v="0.36363636363636365"/>
    <x v="1"/>
  </r>
  <r>
    <x v="65"/>
    <n v="26"/>
    <x v="1"/>
    <x v="1"/>
    <x v="22"/>
    <x v="0"/>
    <x v="0"/>
    <x v="7"/>
    <n v="1"/>
    <n v="700"/>
    <n v="1100"/>
    <n v="1100"/>
    <n v="700"/>
    <n v="400"/>
    <n v="0.36363636363636365"/>
    <x v="1"/>
  </r>
  <r>
    <x v="65"/>
    <n v="26"/>
    <x v="0"/>
    <x v="3"/>
    <x v="6"/>
    <x v="0"/>
    <x v="1"/>
    <x v="32"/>
    <n v="1"/>
    <n v="580"/>
    <n v="920"/>
    <n v="920"/>
    <n v="580"/>
    <n v="340"/>
    <n v="0.36956521739130432"/>
    <x v="1"/>
  </r>
  <r>
    <x v="66"/>
    <n v="26"/>
    <x v="1"/>
    <x v="0"/>
    <x v="1"/>
    <x v="0"/>
    <x v="1"/>
    <x v="8"/>
    <n v="1"/>
    <n v="580"/>
    <n v="920"/>
    <n v="920"/>
    <n v="580"/>
    <n v="340"/>
    <n v="0.36956521739130432"/>
    <x v="1"/>
  </r>
  <r>
    <x v="67"/>
    <n v="26"/>
    <x v="1"/>
    <x v="3"/>
    <x v="8"/>
    <x v="0"/>
    <x v="1"/>
    <x v="8"/>
    <n v="1"/>
    <n v="580"/>
    <n v="920"/>
    <n v="920"/>
    <n v="580"/>
    <n v="340"/>
    <n v="0.36956521739130432"/>
    <x v="1"/>
  </r>
  <r>
    <x v="68"/>
    <n v="26"/>
    <x v="0"/>
    <x v="0"/>
    <x v="1"/>
    <x v="1"/>
    <x v="2"/>
    <x v="31"/>
    <n v="2"/>
    <n v="450"/>
    <n v="720"/>
    <n v="1440"/>
    <n v="900"/>
    <n v="540"/>
    <n v="0.375"/>
    <x v="1"/>
  </r>
  <r>
    <x v="69"/>
    <n v="26"/>
    <x v="1"/>
    <x v="0"/>
    <x v="2"/>
    <x v="1"/>
    <x v="2"/>
    <x v="20"/>
    <n v="3"/>
    <n v="550"/>
    <n v="850"/>
    <n v="2550"/>
    <n v="1650"/>
    <n v="900"/>
    <n v="0.35294117647058826"/>
    <x v="1"/>
  </r>
  <r>
    <x v="69"/>
    <n v="26"/>
    <x v="1"/>
    <x v="1"/>
    <x v="15"/>
    <x v="0"/>
    <x v="1"/>
    <x v="8"/>
    <n v="1"/>
    <n v="580"/>
    <n v="920"/>
    <n v="920"/>
    <n v="580"/>
    <n v="340"/>
    <n v="0.36956521739130432"/>
    <x v="1"/>
  </r>
  <r>
    <x v="46"/>
    <n v="26"/>
    <x v="1"/>
    <x v="0"/>
    <x v="2"/>
    <x v="1"/>
    <x v="2"/>
    <x v="20"/>
    <n v="3"/>
    <n v="550"/>
    <n v="850"/>
    <n v="2550"/>
    <n v="1650"/>
    <n v="900"/>
    <n v="0.35294117647058826"/>
    <x v="1"/>
  </r>
  <r>
    <x v="38"/>
    <n v="26"/>
    <x v="1"/>
    <x v="0"/>
    <x v="2"/>
    <x v="0"/>
    <x v="0"/>
    <x v="6"/>
    <n v="2"/>
    <n v="700"/>
    <n v="1100"/>
    <n v="2200"/>
    <n v="1400"/>
    <n v="800"/>
    <n v="0.36363636363636365"/>
    <x v="1"/>
  </r>
  <r>
    <x v="56"/>
    <n v="26"/>
    <x v="0"/>
    <x v="1"/>
    <x v="17"/>
    <x v="0"/>
    <x v="3"/>
    <x v="37"/>
    <n v="3"/>
    <n v="530"/>
    <n v="840"/>
    <n v="2520"/>
    <n v="1590"/>
    <n v="930"/>
    <n v="0.36904761904761907"/>
    <x v="1"/>
  </r>
  <r>
    <x v="47"/>
    <n v="26"/>
    <x v="1"/>
    <x v="1"/>
    <x v="4"/>
    <x v="0"/>
    <x v="3"/>
    <x v="37"/>
    <n v="1"/>
    <n v="530"/>
    <n v="840"/>
    <n v="840"/>
    <n v="530"/>
    <n v="310"/>
    <n v="0.36904761904761907"/>
    <x v="1"/>
  </r>
  <r>
    <x v="25"/>
    <n v="26"/>
    <x v="0"/>
    <x v="0"/>
    <x v="2"/>
    <x v="0"/>
    <x v="3"/>
    <x v="17"/>
    <n v="4"/>
    <n v="500"/>
    <n v="800"/>
    <n v="3200"/>
    <n v="2000"/>
    <n v="1200"/>
    <n v="0.375"/>
    <x v="1"/>
  </r>
  <r>
    <x v="70"/>
    <n v="26"/>
    <x v="1"/>
    <x v="0"/>
    <x v="1"/>
    <x v="0"/>
    <x v="1"/>
    <x v="8"/>
    <n v="1"/>
    <n v="580"/>
    <n v="920"/>
    <n v="920"/>
    <n v="580"/>
    <n v="340"/>
    <n v="0.36956521739130432"/>
    <x v="1"/>
  </r>
  <r>
    <x v="48"/>
    <n v="26"/>
    <x v="0"/>
    <x v="5"/>
    <x v="16"/>
    <x v="1"/>
    <x v="0"/>
    <x v="25"/>
    <n v="1"/>
    <n v="550"/>
    <n v="850"/>
    <n v="850"/>
    <n v="550"/>
    <n v="300"/>
    <n v="0.35294117647058826"/>
    <x v="1"/>
  </r>
  <r>
    <x v="17"/>
    <n v="26"/>
    <x v="1"/>
    <x v="3"/>
    <x v="8"/>
    <x v="0"/>
    <x v="1"/>
    <x v="8"/>
    <n v="3"/>
    <n v="580"/>
    <n v="920"/>
    <n v="2760"/>
    <n v="1740"/>
    <n v="1020"/>
    <n v="0.36956521739130432"/>
    <x v="1"/>
  </r>
  <r>
    <x v="58"/>
    <n v="26"/>
    <x v="1"/>
    <x v="5"/>
    <x v="16"/>
    <x v="1"/>
    <x v="2"/>
    <x v="13"/>
    <n v="3"/>
    <n v="450"/>
    <n v="720"/>
    <n v="2160"/>
    <n v="1350"/>
    <n v="810"/>
    <n v="0.375"/>
    <x v="1"/>
  </r>
  <r>
    <x v="58"/>
    <n v="26"/>
    <x v="1"/>
    <x v="1"/>
    <x v="23"/>
    <x v="0"/>
    <x v="1"/>
    <x v="34"/>
    <n v="3"/>
    <n v="580"/>
    <n v="920"/>
    <n v="2760"/>
    <n v="1740"/>
    <n v="1020"/>
    <n v="0.36956521739130432"/>
    <x v="1"/>
  </r>
  <r>
    <x v="58"/>
    <n v="26"/>
    <x v="0"/>
    <x v="1"/>
    <x v="15"/>
    <x v="1"/>
    <x v="0"/>
    <x v="15"/>
    <n v="1"/>
    <n v="550"/>
    <n v="850"/>
    <n v="850"/>
    <n v="550"/>
    <n v="300"/>
    <n v="0.35294117647058826"/>
    <x v="1"/>
  </r>
  <r>
    <x v="50"/>
    <n v="26"/>
    <x v="0"/>
    <x v="1"/>
    <x v="24"/>
    <x v="1"/>
    <x v="2"/>
    <x v="20"/>
    <n v="3"/>
    <n v="550"/>
    <n v="850"/>
    <n v="2550"/>
    <n v="1650"/>
    <n v="900"/>
    <n v="0.35294117647058826"/>
    <x v="1"/>
  </r>
  <r>
    <x v="71"/>
    <n v="26"/>
    <x v="1"/>
    <x v="0"/>
    <x v="0"/>
    <x v="0"/>
    <x v="1"/>
    <x v="16"/>
    <n v="4"/>
    <n v="900"/>
    <n v="1400"/>
    <n v="5600"/>
    <n v="3600"/>
    <n v="2000"/>
    <n v="0.35714285714285715"/>
    <x v="1"/>
  </r>
  <r>
    <x v="71"/>
    <n v="26"/>
    <x v="0"/>
    <x v="1"/>
    <x v="21"/>
    <x v="0"/>
    <x v="0"/>
    <x v="10"/>
    <n v="1"/>
    <n v="580"/>
    <n v="920"/>
    <n v="920"/>
    <n v="580"/>
    <n v="340"/>
    <n v="0.36956521739130432"/>
    <x v="1"/>
  </r>
  <r>
    <x v="42"/>
    <n v="26"/>
    <x v="1"/>
    <x v="5"/>
    <x v="16"/>
    <x v="0"/>
    <x v="3"/>
    <x v="38"/>
    <n v="3"/>
    <n v="530"/>
    <n v="840"/>
    <n v="2520"/>
    <n v="1590"/>
    <n v="930"/>
    <n v="0.36904761904761907"/>
    <x v="1"/>
  </r>
  <r>
    <x v="42"/>
    <n v="26"/>
    <x v="1"/>
    <x v="4"/>
    <x v="11"/>
    <x v="0"/>
    <x v="1"/>
    <x v="27"/>
    <n v="1"/>
    <n v="580"/>
    <n v="920"/>
    <n v="920"/>
    <n v="580"/>
    <n v="340"/>
    <n v="0.36956521739130432"/>
    <x v="1"/>
  </r>
  <r>
    <x v="64"/>
    <n v="26"/>
    <x v="0"/>
    <x v="0"/>
    <x v="2"/>
    <x v="0"/>
    <x v="3"/>
    <x v="17"/>
    <n v="1"/>
    <n v="500"/>
    <n v="800"/>
    <n v="800"/>
    <n v="500"/>
    <n v="300"/>
    <n v="0.375"/>
    <x v="1"/>
  </r>
  <r>
    <x v="72"/>
    <n v="27"/>
    <x v="0"/>
    <x v="4"/>
    <x v="11"/>
    <x v="0"/>
    <x v="1"/>
    <x v="42"/>
    <n v="2"/>
    <n v="620"/>
    <n v="980"/>
    <n v="1960"/>
    <n v="1240"/>
    <n v="720"/>
    <n v="0.36734693877551022"/>
    <x v="1"/>
  </r>
  <r>
    <x v="73"/>
    <n v="27"/>
    <x v="0"/>
    <x v="1"/>
    <x v="25"/>
    <x v="0"/>
    <x v="0"/>
    <x v="6"/>
    <n v="3"/>
    <n v="700"/>
    <n v="1100"/>
    <n v="3300"/>
    <n v="2100"/>
    <n v="1200"/>
    <n v="0.36363636363636365"/>
    <x v="1"/>
  </r>
  <r>
    <x v="66"/>
    <n v="27"/>
    <x v="0"/>
    <x v="5"/>
    <x v="16"/>
    <x v="0"/>
    <x v="0"/>
    <x v="0"/>
    <n v="2"/>
    <n v="700"/>
    <n v="1100"/>
    <n v="2200"/>
    <n v="1400"/>
    <n v="800"/>
    <n v="0.36363636363636365"/>
    <x v="1"/>
  </r>
  <r>
    <x v="53"/>
    <n v="27"/>
    <x v="1"/>
    <x v="5"/>
    <x v="16"/>
    <x v="1"/>
    <x v="2"/>
    <x v="20"/>
    <n v="1"/>
    <n v="550"/>
    <n v="850"/>
    <n v="850"/>
    <n v="550"/>
    <n v="300"/>
    <n v="0.35294117647058826"/>
    <x v="1"/>
  </r>
  <r>
    <x v="67"/>
    <n v="27"/>
    <x v="0"/>
    <x v="2"/>
    <x v="7"/>
    <x v="1"/>
    <x v="2"/>
    <x v="20"/>
    <n v="1"/>
    <n v="550"/>
    <n v="850"/>
    <n v="850"/>
    <n v="550"/>
    <n v="300"/>
    <n v="0.35294117647058826"/>
    <x v="1"/>
  </r>
  <r>
    <x v="74"/>
    <n v="27"/>
    <x v="0"/>
    <x v="0"/>
    <x v="1"/>
    <x v="1"/>
    <x v="0"/>
    <x v="25"/>
    <n v="1"/>
    <n v="550"/>
    <n v="850"/>
    <n v="850"/>
    <n v="550"/>
    <n v="300"/>
    <n v="0.35294117647058826"/>
    <x v="1"/>
  </r>
  <r>
    <x v="69"/>
    <n v="27"/>
    <x v="0"/>
    <x v="5"/>
    <x v="16"/>
    <x v="0"/>
    <x v="0"/>
    <x v="0"/>
    <n v="1"/>
    <n v="700"/>
    <n v="1100"/>
    <n v="1100"/>
    <n v="700"/>
    <n v="400"/>
    <n v="0.36363636363636365"/>
    <x v="1"/>
  </r>
  <r>
    <x v="75"/>
    <n v="27"/>
    <x v="1"/>
    <x v="0"/>
    <x v="10"/>
    <x v="1"/>
    <x v="0"/>
    <x v="15"/>
    <n v="1"/>
    <n v="550"/>
    <n v="850"/>
    <n v="850"/>
    <n v="550"/>
    <n v="300"/>
    <n v="0.35294117647058826"/>
    <x v="1"/>
  </r>
  <r>
    <x v="20"/>
    <n v="27"/>
    <x v="1"/>
    <x v="1"/>
    <x v="26"/>
    <x v="0"/>
    <x v="0"/>
    <x v="0"/>
    <n v="3"/>
    <n v="700"/>
    <n v="1100"/>
    <n v="3300"/>
    <n v="2100"/>
    <n v="1200"/>
    <n v="0.36363636363636365"/>
    <x v="1"/>
  </r>
  <r>
    <x v="20"/>
    <n v="27"/>
    <x v="1"/>
    <x v="5"/>
    <x v="16"/>
    <x v="0"/>
    <x v="3"/>
    <x v="23"/>
    <n v="2"/>
    <n v="530"/>
    <n v="840"/>
    <n v="1680"/>
    <n v="1060"/>
    <n v="620"/>
    <n v="0.36904761904761907"/>
    <x v="1"/>
  </r>
  <r>
    <x v="20"/>
    <n v="27"/>
    <x v="0"/>
    <x v="4"/>
    <x v="11"/>
    <x v="0"/>
    <x v="1"/>
    <x v="42"/>
    <n v="1"/>
    <n v="620"/>
    <n v="980"/>
    <n v="980"/>
    <n v="620"/>
    <n v="360"/>
    <n v="0.36734693877551022"/>
    <x v="1"/>
  </r>
  <r>
    <x v="45"/>
    <n v="27"/>
    <x v="0"/>
    <x v="5"/>
    <x v="16"/>
    <x v="1"/>
    <x v="2"/>
    <x v="31"/>
    <n v="2"/>
    <n v="450"/>
    <n v="720"/>
    <n v="1440"/>
    <n v="900"/>
    <n v="540"/>
    <n v="0.375"/>
    <x v="1"/>
  </r>
  <r>
    <x v="36"/>
    <n v="27"/>
    <x v="0"/>
    <x v="5"/>
    <x v="16"/>
    <x v="0"/>
    <x v="0"/>
    <x v="0"/>
    <n v="4"/>
    <n v="700"/>
    <n v="1100"/>
    <n v="4400"/>
    <n v="2800"/>
    <n v="1600"/>
    <n v="0.36363636363636365"/>
    <x v="1"/>
  </r>
  <r>
    <x v="76"/>
    <n v="27"/>
    <x v="1"/>
    <x v="0"/>
    <x v="2"/>
    <x v="1"/>
    <x v="2"/>
    <x v="20"/>
    <n v="1"/>
    <n v="550"/>
    <n v="850"/>
    <n v="850"/>
    <n v="550"/>
    <n v="300"/>
    <n v="0.35294117647058826"/>
    <x v="1"/>
  </r>
  <r>
    <x v="46"/>
    <n v="27"/>
    <x v="0"/>
    <x v="1"/>
    <x v="21"/>
    <x v="1"/>
    <x v="0"/>
    <x v="41"/>
    <n v="2"/>
    <n v="550"/>
    <n v="850"/>
    <n v="1700"/>
    <n v="1100"/>
    <n v="600"/>
    <n v="0.35294117647058826"/>
    <x v="1"/>
  </r>
  <r>
    <x v="4"/>
    <n v="27"/>
    <x v="0"/>
    <x v="1"/>
    <x v="15"/>
    <x v="0"/>
    <x v="3"/>
    <x v="36"/>
    <n v="1"/>
    <n v="500"/>
    <n v="800"/>
    <n v="800"/>
    <n v="500"/>
    <n v="300"/>
    <n v="0.375"/>
    <x v="1"/>
  </r>
  <r>
    <x v="13"/>
    <n v="27"/>
    <x v="0"/>
    <x v="0"/>
    <x v="2"/>
    <x v="0"/>
    <x v="0"/>
    <x v="28"/>
    <n v="1"/>
    <n v="580"/>
    <n v="920"/>
    <n v="920"/>
    <n v="580"/>
    <n v="340"/>
    <n v="0.36956521739130432"/>
    <x v="1"/>
  </r>
  <r>
    <x v="5"/>
    <n v="27"/>
    <x v="1"/>
    <x v="0"/>
    <x v="1"/>
    <x v="0"/>
    <x v="3"/>
    <x v="33"/>
    <n v="4"/>
    <n v="500"/>
    <n v="800"/>
    <n v="3200"/>
    <n v="2000"/>
    <n v="1200"/>
    <n v="0.375"/>
    <x v="1"/>
  </r>
  <r>
    <x v="24"/>
    <n v="27"/>
    <x v="0"/>
    <x v="0"/>
    <x v="2"/>
    <x v="0"/>
    <x v="0"/>
    <x v="28"/>
    <n v="3"/>
    <n v="580"/>
    <n v="920"/>
    <n v="2760"/>
    <n v="1740"/>
    <n v="1020"/>
    <n v="0.36956521739130432"/>
    <x v="1"/>
  </r>
  <r>
    <x v="6"/>
    <n v="27"/>
    <x v="1"/>
    <x v="5"/>
    <x v="16"/>
    <x v="0"/>
    <x v="3"/>
    <x v="23"/>
    <n v="3"/>
    <n v="530"/>
    <n v="840"/>
    <n v="2520"/>
    <n v="1590"/>
    <n v="930"/>
    <n v="0.36904761904761907"/>
    <x v="1"/>
  </r>
  <r>
    <x v="56"/>
    <n v="27"/>
    <x v="0"/>
    <x v="4"/>
    <x v="11"/>
    <x v="0"/>
    <x v="1"/>
    <x v="42"/>
    <n v="3"/>
    <n v="620"/>
    <n v="980"/>
    <n v="2940"/>
    <n v="1860"/>
    <n v="1080"/>
    <n v="0.36734693877551022"/>
    <x v="1"/>
  </r>
  <r>
    <x v="56"/>
    <n v="27"/>
    <x v="0"/>
    <x v="4"/>
    <x v="11"/>
    <x v="0"/>
    <x v="1"/>
    <x v="42"/>
    <n v="2"/>
    <n v="620"/>
    <n v="980"/>
    <n v="1960"/>
    <n v="1240"/>
    <n v="720"/>
    <n v="0.36734693877551022"/>
    <x v="1"/>
  </r>
  <r>
    <x v="56"/>
    <n v="27"/>
    <x v="0"/>
    <x v="4"/>
    <x v="11"/>
    <x v="0"/>
    <x v="1"/>
    <x v="42"/>
    <n v="1"/>
    <n v="620"/>
    <n v="980"/>
    <n v="980"/>
    <n v="620"/>
    <n v="360"/>
    <n v="0.36734693877551022"/>
    <x v="1"/>
  </r>
  <r>
    <x v="32"/>
    <n v="27"/>
    <x v="1"/>
    <x v="4"/>
    <x v="11"/>
    <x v="0"/>
    <x v="3"/>
    <x v="33"/>
    <n v="1"/>
    <n v="500"/>
    <n v="800"/>
    <n v="800"/>
    <n v="500"/>
    <n v="300"/>
    <n v="0.375"/>
    <x v="1"/>
  </r>
  <r>
    <x v="41"/>
    <n v="27"/>
    <x v="0"/>
    <x v="2"/>
    <x v="7"/>
    <x v="0"/>
    <x v="3"/>
    <x v="17"/>
    <n v="1"/>
    <n v="500"/>
    <n v="800"/>
    <n v="800"/>
    <n v="500"/>
    <n v="300"/>
    <n v="0.375"/>
    <x v="1"/>
  </r>
  <r>
    <x v="77"/>
    <n v="27"/>
    <x v="0"/>
    <x v="1"/>
    <x v="27"/>
    <x v="0"/>
    <x v="1"/>
    <x v="43"/>
    <n v="3"/>
    <n v="900"/>
    <n v="1400"/>
    <n v="4200"/>
    <n v="2700"/>
    <n v="1500"/>
    <n v="0.35714285714285715"/>
    <x v="1"/>
  </r>
  <r>
    <x v="47"/>
    <n v="27"/>
    <x v="0"/>
    <x v="4"/>
    <x v="11"/>
    <x v="1"/>
    <x v="0"/>
    <x v="15"/>
    <n v="1"/>
    <n v="550"/>
    <n v="850"/>
    <n v="850"/>
    <n v="550"/>
    <n v="300"/>
    <n v="0.35294117647058826"/>
    <x v="1"/>
  </r>
  <r>
    <x v="26"/>
    <n v="27"/>
    <x v="0"/>
    <x v="0"/>
    <x v="10"/>
    <x v="0"/>
    <x v="3"/>
    <x v="36"/>
    <n v="4"/>
    <n v="500"/>
    <n v="800"/>
    <n v="3200"/>
    <n v="2000"/>
    <n v="1200"/>
    <n v="0.375"/>
    <x v="1"/>
  </r>
  <r>
    <x v="48"/>
    <n v="27"/>
    <x v="1"/>
    <x v="0"/>
    <x v="0"/>
    <x v="0"/>
    <x v="0"/>
    <x v="28"/>
    <n v="2"/>
    <n v="580"/>
    <n v="920"/>
    <n v="1840"/>
    <n v="1160"/>
    <n v="680"/>
    <n v="0.36956521739130432"/>
    <x v="1"/>
  </r>
  <r>
    <x v="15"/>
    <n v="27"/>
    <x v="1"/>
    <x v="1"/>
    <x v="17"/>
    <x v="0"/>
    <x v="1"/>
    <x v="8"/>
    <n v="3"/>
    <n v="580"/>
    <n v="920"/>
    <n v="2760"/>
    <n v="1740"/>
    <n v="1020"/>
    <n v="0.36956521739130432"/>
    <x v="1"/>
  </r>
  <r>
    <x v="15"/>
    <n v="27"/>
    <x v="0"/>
    <x v="4"/>
    <x v="11"/>
    <x v="1"/>
    <x v="0"/>
    <x v="15"/>
    <n v="1"/>
    <n v="550"/>
    <n v="850"/>
    <n v="850"/>
    <n v="550"/>
    <n v="300"/>
    <n v="0.35294117647058826"/>
    <x v="1"/>
  </r>
  <r>
    <x v="15"/>
    <n v="27"/>
    <x v="1"/>
    <x v="1"/>
    <x v="4"/>
    <x v="0"/>
    <x v="0"/>
    <x v="10"/>
    <n v="1"/>
    <n v="580"/>
    <n v="920"/>
    <n v="920"/>
    <n v="580"/>
    <n v="340"/>
    <n v="0.36956521739130432"/>
    <x v="1"/>
  </r>
  <r>
    <x v="16"/>
    <n v="27"/>
    <x v="0"/>
    <x v="0"/>
    <x v="0"/>
    <x v="0"/>
    <x v="0"/>
    <x v="7"/>
    <n v="4"/>
    <n v="700"/>
    <n v="1100"/>
    <n v="4400"/>
    <n v="2800"/>
    <n v="1600"/>
    <n v="0.36363636363636365"/>
    <x v="1"/>
  </r>
  <r>
    <x v="78"/>
    <n v="27"/>
    <x v="0"/>
    <x v="0"/>
    <x v="0"/>
    <x v="0"/>
    <x v="0"/>
    <x v="7"/>
    <n v="1"/>
    <n v="700"/>
    <n v="1100"/>
    <n v="1100"/>
    <n v="700"/>
    <n v="400"/>
    <n v="0.36363636363636365"/>
    <x v="1"/>
  </r>
  <r>
    <x v="17"/>
    <n v="27"/>
    <x v="1"/>
    <x v="1"/>
    <x v="18"/>
    <x v="1"/>
    <x v="2"/>
    <x v="3"/>
    <n v="1"/>
    <n v="550"/>
    <n v="850"/>
    <n v="850"/>
    <n v="550"/>
    <n v="300"/>
    <n v="0.35294117647058826"/>
    <x v="1"/>
  </r>
  <r>
    <x v="18"/>
    <n v="27"/>
    <x v="0"/>
    <x v="0"/>
    <x v="2"/>
    <x v="0"/>
    <x v="0"/>
    <x v="28"/>
    <n v="4"/>
    <n v="580"/>
    <n v="920"/>
    <n v="3680"/>
    <n v="2320"/>
    <n v="1360"/>
    <n v="0.36956521739130432"/>
    <x v="1"/>
  </r>
  <r>
    <x v="79"/>
    <n v="27"/>
    <x v="1"/>
    <x v="4"/>
    <x v="11"/>
    <x v="0"/>
    <x v="3"/>
    <x v="33"/>
    <n v="1"/>
    <n v="500"/>
    <n v="800"/>
    <n v="800"/>
    <n v="500"/>
    <n v="300"/>
    <n v="0.375"/>
    <x v="1"/>
  </r>
  <r>
    <x v="50"/>
    <n v="27"/>
    <x v="1"/>
    <x v="0"/>
    <x v="2"/>
    <x v="0"/>
    <x v="1"/>
    <x v="8"/>
    <n v="1"/>
    <n v="580"/>
    <n v="920"/>
    <n v="920"/>
    <n v="580"/>
    <n v="340"/>
    <n v="0.36956521739130432"/>
    <x v="1"/>
  </r>
  <r>
    <x v="19"/>
    <n v="27"/>
    <x v="1"/>
    <x v="4"/>
    <x v="11"/>
    <x v="1"/>
    <x v="0"/>
    <x v="15"/>
    <n v="1"/>
    <n v="550"/>
    <n v="850"/>
    <n v="850"/>
    <n v="550"/>
    <n v="300"/>
    <n v="0.35294117647058826"/>
    <x v="1"/>
  </r>
  <r>
    <x v="28"/>
    <n v="27"/>
    <x v="0"/>
    <x v="2"/>
    <x v="7"/>
    <x v="0"/>
    <x v="3"/>
    <x v="17"/>
    <n v="1"/>
    <n v="500"/>
    <n v="800"/>
    <n v="800"/>
    <n v="500"/>
    <n v="300"/>
    <n v="0.375"/>
    <x v="1"/>
  </r>
  <r>
    <x v="28"/>
    <n v="27"/>
    <x v="1"/>
    <x v="1"/>
    <x v="27"/>
    <x v="0"/>
    <x v="0"/>
    <x v="6"/>
    <n v="1"/>
    <n v="700"/>
    <n v="1100"/>
    <n v="1100"/>
    <n v="700"/>
    <n v="400"/>
    <n v="0.36363636363636365"/>
    <x v="1"/>
  </r>
  <r>
    <x v="63"/>
    <n v="27"/>
    <x v="1"/>
    <x v="1"/>
    <x v="27"/>
    <x v="0"/>
    <x v="0"/>
    <x v="6"/>
    <n v="1"/>
    <n v="700"/>
    <n v="1100"/>
    <n v="1100"/>
    <n v="700"/>
    <n v="400"/>
    <n v="0.36363636363636365"/>
    <x v="1"/>
  </r>
  <r>
    <x v="72"/>
    <n v="28"/>
    <x v="0"/>
    <x v="5"/>
    <x v="16"/>
    <x v="1"/>
    <x v="0"/>
    <x v="25"/>
    <n v="2"/>
    <n v="550"/>
    <n v="850"/>
    <n v="1700"/>
    <n v="1100"/>
    <n v="600"/>
    <n v="0.35294117647058826"/>
    <x v="1"/>
  </r>
  <r>
    <x v="72"/>
    <n v="28"/>
    <x v="0"/>
    <x v="0"/>
    <x v="10"/>
    <x v="1"/>
    <x v="2"/>
    <x v="20"/>
    <n v="1"/>
    <n v="550"/>
    <n v="850"/>
    <n v="850"/>
    <n v="550"/>
    <n v="300"/>
    <n v="0.35294117647058826"/>
    <x v="1"/>
  </r>
  <r>
    <x v="80"/>
    <n v="28"/>
    <x v="1"/>
    <x v="0"/>
    <x v="1"/>
    <x v="1"/>
    <x v="0"/>
    <x v="25"/>
    <n v="3"/>
    <n v="550"/>
    <n v="850"/>
    <n v="2550"/>
    <n v="1650"/>
    <n v="900"/>
    <n v="0.35294117647058826"/>
    <x v="1"/>
  </r>
  <r>
    <x v="80"/>
    <n v="28"/>
    <x v="1"/>
    <x v="0"/>
    <x v="1"/>
    <x v="1"/>
    <x v="0"/>
    <x v="25"/>
    <n v="2"/>
    <n v="550"/>
    <n v="850"/>
    <n v="1700"/>
    <n v="1100"/>
    <n v="600"/>
    <n v="0.35294117647058826"/>
    <x v="1"/>
  </r>
  <r>
    <x v="35"/>
    <n v="28"/>
    <x v="1"/>
    <x v="5"/>
    <x v="16"/>
    <x v="1"/>
    <x v="0"/>
    <x v="15"/>
    <n v="1"/>
    <n v="550"/>
    <n v="850"/>
    <n v="850"/>
    <n v="550"/>
    <n v="300"/>
    <n v="0.35294117647058826"/>
    <x v="1"/>
  </r>
  <r>
    <x v="65"/>
    <n v="28"/>
    <x v="0"/>
    <x v="0"/>
    <x v="3"/>
    <x v="1"/>
    <x v="0"/>
    <x v="41"/>
    <n v="1"/>
    <n v="550"/>
    <n v="850"/>
    <n v="850"/>
    <n v="550"/>
    <n v="300"/>
    <n v="0.35294117647058826"/>
    <x v="1"/>
  </r>
  <r>
    <x v="81"/>
    <n v="28"/>
    <x v="0"/>
    <x v="0"/>
    <x v="2"/>
    <x v="1"/>
    <x v="2"/>
    <x v="40"/>
    <n v="1"/>
    <n v="550"/>
    <n v="850"/>
    <n v="850"/>
    <n v="550"/>
    <n v="300"/>
    <n v="0.35294117647058826"/>
    <x v="1"/>
  </r>
  <r>
    <x v="82"/>
    <n v="28"/>
    <x v="1"/>
    <x v="5"/>
    <x v="16"/>
    <x v="1"/>
    <x v="0"/>
    <x v="15"/>
    <n v="1"/>
    <n v="550"/>
    <n v="850"/>
    <n v="850"/>
    <n v="550"/>
    <n v="300"/>
    <n v="0.35294117647058826"/>
    <x v="1"/>
  </r>
  <r>
    <x v="74"/>
    <n v="28"/>
    <x v="1"/>
    <x v="0"/>
    <x v="0"/>
    <x v="1"/>
    <x v="0"/>
    <x v="41"/>
    <n v="1"/>
    <n v="550"/>
    <n v="850"/>
    <n v="850"/>
    <n v="550"/>
    <n v="300"/>
    <n v="0.35294117647058826"/>
    <x v="1"/>
  </r>
  <r>
    <x v="74"/>
    <n v="28"/>
    <x v="0"/>
    <x v="2"/>
    <x v="7"/>
    <x v="1"/>
    <x v="0"/>
    <x v="25"/>
    <n v="1"/>
    <n v="550"/>
    <n v="850"/>
    <n v="850"/>
    <n v="550"/>
    <n v="300"/>
    <n v="0.35294117647058826"/>
    <x v="1"/>
  </r>
  <r>
    <x v="68"/>
    <n v="28"/>
    <x v="1"/>
    <x v="0"/>
    <x v="2"/>
    <x v="1"/>
    <x v="0"/>
    <x v="25"/>
    <n v="3"/>
    <n v="550"/>
    <n v="850"/>
    <n v="2550"/>
    <n v="1650"/>
    <n v="900"/>
    <n v="0.35294117647058826"/>
    <x v="1"/>
  </r>
  <r>
    <x v="43"/>
    <n v="28"/>
    <x v="0"/>
    <x v="1"/>
    <x v="15"/>
    <x v="1"/>
    <x v="2"/>
    <x v="31"/>
    <n v="4"/>
    <n v="450"/>
    <n v="720"/>
    <n v="2880"/>
    <n v="1800"/>
    <n v="1080"/>
    <n v="0.375"/>
    <x v="1"/>
  </r>
  <r>
    <x v="44"/>
    <n v="28"/>
    <x v="0"/>
    <x v="0"/>
    <x v="0"/>
    <x v="1"/>
    <x v="0"/>
    <x v="25"/>
    <n v="4"/>
    <n v="550"/>
    <n v="850"/>
    <n v="3400"/>
    <n v="2200"/>
    <n v="1200"/>
    <n v="0.35294117647058826"/>
    <x v="1"/>
  </r>
  <r>
    <x v="11"/>
    <n v="28"/>
    <x v="0"/>
    <x v="5"/>
    <x v="16"/>
    <x v="0"/>
    <x v="1"/>
    <x v="5"/>
    <n v="4"/>
    <n v="900"/>
    <n v="1400"/>
    <n v="5600"/>
    <n v="3600"/>
    <n v="2000"/>
    <n v="0.35714285714285715"/>
    <x v="1"/>
  </r>
  <r>
    <x v="55"/>
    <n v="28"/>
    <x v="0"/>
    <x v="0"/>
    <x v="3"/>
    <x v="0"/>
    <x v="0"/>
    <x v="10"/>
    <n v="4"/>
    <n v="580"/>
    <n v="920"/>
    <n v="3680"/>
    <n v="2320"/>
    <n v="1360"/>
    <n v="0.36956521739130432"/>
    <x v="1"/>
  </r>
  <r>
    <x v="38"/>
    <n v="28"/>
    <x v="0"/>
    <x v="5"/>
    <x v="16"/>
    <x v="0"/>
    <x v="1"/>
    <x v="5"/>
    <n v="2"/>
    <n v="900"/>
    <n v="1400"/>
    <n v="2800"/>
    <n v="1800"/>
    <n v="1000"/>
    <n v="0.35714285714285715"/>
    <x v="1"/>
  </r>
  <r>
    <x v="38"/>
    <n v="28"/>
    <x v="0"/>
    <x v="5"/>
    <x v="16"/>
    <x v="1"/>
    <x v="0"/>
    <x v="25"/>
    <n v="1"/>
    <n v="550"/>
    <n v="850"/>
    <n v="850"/>
    <n v="550"/>
    <n v="300"/>
    <n v="0.35294117647058826"/>
    <x v="1"/>
  </r>
  <r>
    <x v="40"/>
    <n v="28"/>
    <x v="1"/>
    <x v="2"/>
    <x v="9"/>
    <x v="1"/>
    <x v="2"/>
    <x v="20"/>
    <n v="2"/>
    <n v="550"/>
    <n v="850"/>
    <n v="1700"/>
    <n v="1100"/>
    <n v="600"/>
    <n v="0.35294117647058826"/>
    <x v="1"/>
  </r>
  <r>
    <x v="24"/>
    <n v="28"/>
    <x v="1"/>
    <x v="5"/>
    <x v="16"/>
    <x v="0"/>
    <x v="0"/>
    <x v="0"/>
    <n v="3"/>
    <n v="700"/>
    <n v="1100"/>
    <n v="3300"/>
    <n v="2100"/>
    <n v="1200"/>
    <n v="0.36363636363636365"/>
    <x v="1"/>
  </r>
  <r>
    <x v="56"/>
    <n v="28"/>
    <x v="1"/>
    <x v="5"/>
    <x v="16"/>
    <x v="0"/>
    <x v="0"/>
    <x v="0"/>
    <n v="4"/>
    <n v="700"/>
    <n v="1100"/>
    <n v="4400"/>
    <n v="2800"/>
    <n v="1600"/>
    <n v="0.36363636363636365"/>
    <x v="1"/>
  </r>
  <r>
    <x v="32"/>
    <n v="28"/>
    <x v="1"/>
    <x v="5"/>
    <x v="16"/>
    <x v="0"/>
    <x v="0"/>
    <x v="0"/>
    <n v="1"/>
    <n v="700"/>
    <n v="1100"/>
    <n v="1100"/>
    <n v="700"/>
    <n v="400"/>
    <n v="0.36363636363636365"/>
    <x v="1"/>
  </r>
  <r>
    <x v="33"/>
    <n v="28"/>
    <x v="1"/>
    <x v="0"/>
    <x v="1"/>
    <x v="0"/>
    <x v="0"/>
    <x v="10"/>
    <n v="1"/>
    <n v="580"/>
    <n v="920"/>
    <n v="920"/>
    <n v="580"/>
    <n v="340"/>
    <n v="0.36956521739130432"/>
    <x v="1"/>
  </r>
  <r>
    <x v="33"/>
    <n v="28"/>
    <x v="1"/>
    <x v="2"/>
    <x v="7"/>
    <x v="0"/>
    <x v="0"/>
    <x v="22"/>
    <n v="1"/>
    <n v="700"/>
    <n v="1100"/>
    <n v="1100"/>
    <n v="700"/>
    <n v="400"/>
    <n v="0.36363636363636365"/>
    <x v="1"/>
  </r>
  <r>
    <x v="83"/>
    <n v="28"/>
    <x v="1"/>
    <x v="2"/>
    <x v="5"/>
    <x v="0"/>
    <x v="3"/>
    <x v="35"/>
    <n v="1"/>
    <n v="500"/>
    <n v="800"/>
    <n v="800"/>
    <n v="500"/>
    <n v="300"/>
    <n v="0.375"/>
    <x v="1"/>
  </r>
  <r>
    <x v="57"/>
    <n v="28"/>
    <x v="0"/>
    <x v="1"/>
    <x v="21"/>
    <x v="0"/>
    <x v="3"/>
    <x v="38"/>
    <n v="3"/>
    <n v="530"/>
    <n v="840"/>
    <n v="2520"/>
    <n v="1590"/>
    <n v="930"/>
    <n v="0.36904761904761907"/>
    <x v="1"/>
  </r>
  <r>
    <x v="57"/>
    <n v="28"/>
    <x v="1"/>
    <x v="0"/>
    <x v="1"/>
    <x v="0"/>
    <x v="0"/>
    <x v="10"/>
    <n v="1"/>
    <n v="580"/>
    <n v="920"/>
    <n v="920"/>
    <n v="580"/>
    <n v="340"/>
    <n v="0.36956521739130432"/>
    <x v="1"/>
  </r>
  <r>
    <x v="57"/>
    <n v="28"/>
    <x v="0"/>
    <x v="1"/>
    <x v="15"/>
    <x v="0"/>
    <x v="3"/>
    <x v="35"/>
    <n v="1"/>
    <n v="500"/>
    <n v="800"/>
    <n v="800"/>
    <n v="500"/>
    <n v="300"/>
    <n v="0.375"/>
    <x v="1"/>
  </r>
  <r>
    <x v="77"/>
    <n v="28"/>
    <x v="1"/>
    <x v="2"/>
    <x v="7"/>
    <x v="0"/>
    <x v="0"/>
    <x v="22"/>
    <n v="1"/>
    <n v="700"/>
    <n v="1100"/>
    <n v="1100"/>
    <n v="700"/>
    <n v="400"/>
    <n v="0.36363636363636365"/>
    <x v="1"/>
  </r>
  <r>
    <x v="77"/>
    <n v="28"/>
    <x v="1"/>
    <x v="4"/>
    <x v="11"/>
    <x v="0"/>
    <x v="1"/>
    <x v="32"/>
    <n v="1"/>
    <n v="580"/>
    <n v="920"/>
    <n v="920"/>
    <n v="580"/>
    <n v="340"/>
    <n v="0.36956521739130432"/>
    <x v="1"/>
  </r>
  <r>
    <x v="16"/>
    <n v="28"/>
    <x v="0"/>
    <x v="1"/>
    <x v="4"/>
    <x v="0"/>
    <x v="1"/>
    <x v="43"/>
    <n v="3"/>
    <n v="900"/>
    <n v="1400"/>
    <n v="4200"/>
    <n v="2700"/>
    <n v="1500"/>
    <n v="0.35714285714285715"/>
    <x v="1"/>
  </r>
  <r>
    <x v="78"/>
    <n v="28"/>
    <x v="0"/>
    <x v="0"/>
    <x v="1"/>
    <x v="0"/>
    <x v="3"/>
    <x v="29"/>
    <n v="4"/>
    <n v="530"/>
    <n v="840"/>
    <n v="3360"/>
    <n v="2120"/>
    <n v="1240"/>
    <n v="0.36904761904761907"/>
    <x v="1"/>
  </r>
  <r>
    <x v="78"/>
    <n v="28"/>
    <x v="1"/>
    <x v="1"/>
    <x v="22"/>
    <x v="0"/>
    <x v="3"/>
    <x v="37"/>
    <n v="2"/>
    <n v="530"/>
    <n v="840"/>
    <n v="1680"/>
    <n v="1060"/>
    <n v="620"/>
    <n v="0.36904761904761907"/>
    <x v="1"/>
  </r>
  <r>
    <x v="49"/>
    <n v="28"/>
    <x v="1"/>
    <x v="0"/>
    <x v="1"/>
    <x v="0"/>
    <x v="0"/>
    <x v="10"/>
    <n v="4"/>
    <n v="580"/>
    <n v="920"/>
    <n v="3680"/>
    <n v="2320"/>
    <n v="1360"/>
    <n v="0.36956521739130432"/>
    <x v="1"/>
  </r>
  <r>
    <x v="17"/>
    <n v="28"/>
    <x v="0"/>
    <x v="1"/>
    <x v="15"/>
    <x v="0"/>
    <x v="3"/>
    <x v="35"/>
    <n v="1"/>
    <n v="500"/>
    <n v="800"/>
    <n v="800"/>
    <n v="500"/>
    <n v="300"/>
    <n v="0.375"/>
    <x v="1"/>
  </r>
  <r>
    <x v="19"/>
    <n v="28"/>
    <x v="0"/>
    <x v="2"/>
    <x v="7"/>
    <x v="0"/>
    <x v="1"/>
    <x v="5"/>
    <n v="2"/>
    <n v="900"/>
    <n v="1400"/>
    <n v="2800"/>
    <n v="1800"/>
    <n v="1000"/>
    <n v="0.35714285714285715"/>
    <x v="1"/>
  </r>
  <r>
    <x v="19"/>
    <n v="28"/>
    <x v="1"/>
    <x v="2"/>
    <x v="7"/>
    <x v="0"/>
    <x v="0"/>
    <x v="22"/>
    <n v="1"/>
    <n v="700"/>
    <n v="1100"/>
    <n v="1100"/>
    <n v="700"/>
    <n v="400"/>
    <n v="0.36363636363636365"/>
    <x v="1"/>
  </r>
  <r>
    <x v="59"/>
    <n v="28"/>
    <x v="0"/>
    <x v="1"/>
    <x v="17"/>
    <x v="0"/>
    <x v="1"/>
    <x v="27"/>
    <n v="1"/>
    <n v="580"/>
    <n v="920"/>
    <n v="920"/>
    <n v="580"/>
    <n v="340"/>
    <n v="0.36956521739130432"/>
    <x v="1"/>
  </r>
  <r>
    <x v="80"/>
    <n v="29"/>
    <x v="1"/>
    <x v="0"/>
    <x v="1"/>
    <x v="1"/>
    <x v="2"/>
    <x v="20"/>
    <n v="3"/>
    <n v="550"/>
    <n v="850"/>
    <n v="2550"/>
    <n v="1650"/>
    <n v="900"/>
    <n v="0.35294117647058826"/>
    <x v="1"/>
  </r>
  <r>
    <x v="34"/>
    <n v="29"/>
    <x v="0"/>
    <x v="1"/>
    <x v="4"/>
    <x v="0"/>
    <x v="1"/>
    <x v="16"/>
    <n v="2"/>
    <n v="900"/>
    <n v="1400"/>
    <n v="2800"/>
    <n v="1800"/>
    <n v="1000"/>
    <n v="0.35714285714285715"/>
    <x v="1"/>
  </r>
  <r>
    <x v="52"/>
    <n v="29"/>
    <x v="1"/>
    <x v="1"/>
    <x v="23"/>
    <x v="1"/>
    <x v="2"/>
    <x v="3"/>
    <n v="1"/>
    <n v="550"/>
    <n v="850"/>
    <n v="850"/>
    <n v="550"/>
    <n v="300"/>
    <n v="0.35294117647058826"/>
    <x v="1"/>
  </r>
  <r>
    <x v="10"/>
    <n v="29"/>
    <x v="0"/>
    <x v="0"/>
    <x v="10"/>
    <x v="0"/>
    <x v="3"/>
    <x v="37"/>
    <n v="1"/>
    <n v="530"/>
    <n v="840"/>
    <n v="840"/>
    <n v="530"/>
    <n v="310"/>
    <n v="0.36904761904761907"/>
    <x v="1"/>
  </r>
  <r>
    <x v="53"/>
    <n v="29"/>
    <x v="1"/>
    <x v="5"/>
    <x v="16"/>
    <x v="0"/>
    <x v="3"/>
    <x v="36"/>
    <n v="1"/>
    <n v="500"/>
    <n v="800"/>
    <n v="800"/>
    <n v="500"/>
    <n v="300"/>
    <n v="0.375"/>
    <x v="1"/>
  </r>
  <r>
    <x v="68"/>
    <n v="29"/>
    <x v="0"/>
    <x v="0"/>
    <x v="1"/>
    <x v="1"/>
    <x v="0"/>
    <x v="15"/>
    <n v="3"/>
    <n v="550"/>
    <n v="850"/>
    <n v="2550"/>
    <n v="1650"/>
    <n v="900"/>
    <n v="0.35294117647058826"/>
    <x v="1"/>
  </r>
  <r>
    <x v="68"/>
    <n v="29"/>
    <x v="0"/>
    <x v="1"/>
    <x v="23"/>
    <x v="1"/>
    <x v="0"/>
    <x v="15"/>
    <n v="1"/>
    <n v="550"/>
    <n v="850"/>
    <n v="850"/>
    <n v="550"/>
    <n v="300"/>
    <n v="0.35294117647058826"/>
    <x v="1"/>
  </r>
  <r>
    <x v="69"/>
    <n v="29"/>
    <x v="1"/>
    <x v="5"/>
    <x v="16"/>
    <x v="0"/>
    <x v="3"/>
    <x v="36"/>
    <n v="1"/>
    <n v="500"/>
    <n v="800"/>
    <n v="800"/>
    <n v="500"/>
    <n v="300"/>
    <n v="0.375"/>
    <x v="1"/>
  </r>
  <r>
    <x v="69"/>
    <n v="29"/>
    <x v="0"/>
    <x v="4"/>
    <x v="11"/>
    <x v="0"/>
    <x v="0"/>
    <x v="0"/>
    <n v="1"/>
    <n v="700"/>
    <n v="1100"/>
    <n v="1100"/>
    <n v="700"/>
    <n v="400"/>
    <n v="0.36363636363636365"/>
    <x v="1"/>
  </r>
  <r>
    <x v="75"/>
    <n v="29"/>
    <x v="0"/>
    <x v="5"/>
    <x v="16"/>
    <x v="0"/>
    <x v="3"/>
    <x v="23"/>
    <n v="1"/>
    <n v="530"/>
    <n v="840"/>
    <n v="840"/>
    <n v="530"/>
    <n v="310"/>
    <n v="0.36904761904761907"/>
    <x v="1"/>
  </r>
  <r>
    <x v="76"/>
    <n v="29"/>
    <x v="1"/>
    <x v="0"/>
    <x v="1"/>
    <x v="0"/>
    <x v="0"/>
    <x v="28"/>
    <n v="3"/>
    <n v="580"/>
    <n v="920"/>
    <n v="2760"/>
    <n v="1740"/>
    <n v="1020"/>
    <n v="0.36956521739130432"/>
    <x v="1"/>
  </r>
  <r>
    <x v="11"/>
    <n v="29"/>
    <x v="0"/>
    <x v="3"/>
    <x v="13"/>
    <x v="0"/>
    <x v="1"/>
    <x v="30"/>
    <n v="1"/>
    <n v="900"/>
    <n v="1400"/>
    <n v="1400"/>
    <n v="900"/>
    <n v="500"/>
    <n v="0.35714285714285715"/>
    <x v="1"/>
  </r>
  <r>
    <x v="21"/>
    <n v="29"/>
    <x v="1"/>
    <x v="1"/>
    <x v="17"/>
    <x v="0"/>
    <x v="3"/>
    <x v="33"/>
    <n v="1"/>
    <n v="500"/>
    <n v="800"/>
    <n v="800"/>
    <n v="500"/>
    <n v="300"/>
    <n v="0.375"/>
    <x v="1"/>
  </r>
  <r>
    <x v="21"/>
    <n v="29"/>
    <x v="1"/>
    <x v="5"/>
    <x v="16"/>
    <x v="0"/>
    <x v="3"/>
    <x v="36"/>
    <n v="1"/>
    <n v="500"/>
    <n v="800"/>
    <n v="800"/>
    <n v="500"/>
    <n v="300"/>
    <n v="0.375"/>
    <x v="1"/>
  </r>
  <r>
    <x v="12"/>
    <n v="29"/>
    <x v="0"/>
    <x v="2"/>
    <x v="7"/>
    <x v="1"/>
    <x v="0"/>
    <x v="25"/>
    <n v="1"/>
    <n v="550"/>
    <n v="850"/>
    <n v="850"/>
    <n v="550"/>
    <n v="300"/>
    <n v="0.35294117647058826"/>
    <x v="1"/>
  </r>
  <r>
    <x v="55"/>
    <n v="29"/>
    <x v="1"/>
    <x v="2"/>
    <x v="7"/>
    <x v="1"/>
    <x v="2"/>
    <x v="40"/>
    <n v="1"/>
    <n v="550"/>
    <n v="850"/>
    <n v="850"/>
    <n v="550"/>
    <n v="300"/>
    <n v="0.35294117647058826"/>
    <x v="1"/>
  </r>
  <r>
    <x v="13"/>
    <n v="29"/>
    <x v="0"/>
    <x v="2"/>
    <x v="7"/>
    <x v="1"/>
    <x v="0"/>
    <x v="25"/>
    <n v="1"/>
    <n v="550"/>
    <n v="850"/>
    <n v="850"/>
    <n v="550"/>
    <n v="300"/>
    <n v="0.35294117647058826"/>
    <x v="1"/>
  </r>
  <r>
    <x v="62"/>
    <n v="29"/>
    <x v="0"/>
    <x v="5"/>
    <x v="16"/>
    <x v="1"/>
    <x v="0"/>
    <x v="25"/>
    <n v="2"/>
    <n v="550"/>
    <n v="850"/>
    <n v="1700"/>
    <n v="1100"/>
    <n v="600"/>
    <n v="0.35294117647058826"/>
    <x v="1"/>
  </r>
  <r>
    <x v="5"/>
    <n v="29"/>
    <x v="1"/>
    <x v="2"/>
    <x v="5"/>
    <x v="0"/>
    <x v="1"/>
    <x v="32"/>
    <n v="1"/>
    <n v="580"/>
    <n v="920"/>
    <n v="920"/>
    <n v="580"/>
    <n v="340"/>
    <n v="0.36956521739130432"/>
    <x v="1"/>
  </r>
  <r>
    <x v="24"/>
    <n v="29"/>
    <x v="1"/>
    <x v="2"/>
    <x v="7"/>
    <x v="1"/>
    <x v="2"/>
    <x v="40"/>
    <n v="3"/>
    <n v="550"/>
    <n v="850"/>
    <n v="2550"/>
    <n v="1650"/>
    <n v="900"/>
    <n v="0.35294117647058826"/>
    <x v="1"/>
  </r>
  <r>
    <x v="24"/>
    <n v="29"/>
    <x v="1"/>
    <x v="1"/>
    <x v="4"/>
    <x v="0"/>
    <x v="0"/>
    <x v="44"/>
    <n v="1"/>
    <n v="620"/>
    <n v="980"/>
    <n v="980"/>
    <n v="620"/>
    <n v="360"/>
    <n v="0.36734693877551022"/>
    <x v="1"/>
  </r>
  <r>
    <x v="6"/>
    <n v="29"/>
    <x v="0"/>
    <x v="3"/>
    <x v="13"/>
    <x v="0"/>
    <x v="1"/>
    <x v="30"/>
    <n v="2"/>
    <n v="900"/>
    <n v="1400"/>
    <n v="2800"/>
    <n v="1800"/>
    <n v="1000"/>
    <n v="0.35714285714285715"/>
    <x v="1"/>
  </r>
  <r>
    <x v="56"/>
    <n v="29"/>
    <x v="0"/>
    <x v="1"/>
    <x v="17"/>
    <x v="0"/>
    <x v="1"/>
    <x v="8"/>
    <n v="2"/>
    <n v="580"/>
    <n v="920"/>
    <n v="1840"/>
    <n v="1160"/>
    <n v="680"/>
    <n v="0.36956521739130432"/>
    <x v="1"/>
  </r>
  <r>
    <x v="56"/>
    <n v="29"/>
    <x v="1"/>
    <x v="2"/>
    <x v="5"/>
    <x v="0"/>
    <x v="1"/>
    <x v="32"/>
    <n v="1"/>
    <n v="580"/>
    <n v="920"/>
    <n v="920"/>
    <n v="580"/>
    <n v="340"/>
    <n v="0.36956521739130432"/>
    <x v="1"/>
  </r>
  <r>
    <x v="7"/>
    <n v="29"/>
    <x v="0"/>
    <x v="1"/>
    <x v="15"/>
    <x v="0"/>
    <x v="0"/>
    <x v="39"/>
    <n v="1"/>
    <n v="620"/>
    <n v="980"/>
    <n v="980"/>
    <n v="620"/>
    <n v="360"/>
    <n v="0.36734693877551022"/>
    <x v="1"/>
  </r>
  <r>
    <x v="8"/>
    <n v="29"/>
    <x v="1"/>
    <x v="2"/>
    <x v="7"/>
    <x v="1"/>
    <x v="2"/>
    <x v="40"/>
    <n v="4"/>
    <n v="550"/>
    <n v="850"/>
    <n v="3400"/>
    <n v="2200"/>
    <n v="1200"/>
    <n v="0.35294117647058826"/>
    <x v="1"/>
  </r>
  <r>
    <x v="83"/>
    <n v="29"/>
    <x v="1"/>
    <x v="1"/>
    <x v="15"/>
    <x v="0"/>
    <x v="3"/>
    <x v="17"/>
    <n v="2"/>
    <n v="500"/>
    <n v="800"/>
    <n v="1600"/>
    <n v="1000"/>
    <n v="600"/>
    <n v="0.375"/>
    <x v="1"/>
  </r>
  <r>
    <x v="77"/>
    <n v="29"/>
    <x v="0"/>
    <x v="0"/>
    <x v="1"/>
    <x v="0"/>
    <x v="0"/>
    <x v="22"/>
    <n v="2"/>
    <n v="700"/>
    <n v="1100"/>
    <n v="2200"/>
    <n v="1400"/>
    <n v="800"/>
    <n v="0.36363636363636365"/>
    <x v="1"/>
  </r>
  <r>
    <x v="77"/>
    <n v="29"/>
    <x v="0"/>
    <x v="1"/>
    <x v="23"/>
    <x v="0"/>
    <x v="1"/>
    <x v="5"/>
    <n v="1"/>
    <n v="900"/>
    <n v="1400"/>
    <n v="1400"/>
    <n v="900"/>
    <n v="500"/>
    <n v="0.35714285714285715"/>
    <x v="1"/>
  </r>
  <r>
    <x v="25"/>
    <n v="29"/>
    <x v="0"/>
    <x v="0"/>
    <x v="2"/>
    <x v="0"/>
    <x v="0"/>
    <x v="10"/>
    <n v="1"/>
    <n v="580"/>
    <n v="920"/>
    <n v="920"/>
    <n v="580"/>
    <n v="340"/>
    <n v="0.36956521739130432"/>
    <x v="1"/>
  </r>
  <r>
    <x v="15"/>
    <n v="29"/>
    <x v="1"/>
    <x v="5"/>
    <x v="16"/>
    <x v="0"/>
    <x v="3"/>
    <x v="36"/>
    <n v="1"/>
    <n v="500"/>
    <n v="800"/>
    <n v="800"/>
    <n v="500"/>
    <n v="300"/>
    <n v="0.375"/>
    <x v="1"/>
  </r>
  <r>
    <x v="78"/>
    <n v="29"/>
    <x v="1"/>
    <x v="0"/>
    <x v="2"/>
    <x v="0"/>
    <x v="0"/>
    <x v="28"/>
    <n v="2"/>
    <n v="580"/>
    <n v="920"/>
    <n v="1840"/>
    <n v="1160"/>
    <n v="680"/>
    <n v="0.36956521739130432"/>
    <x v="1"/>
  </r>
  <r>
    <x v="49"/>
    <n v="29"/>
    <x v="1"/>
    <x v="2"/>
    <x v="7"/>
    <x v="1"/>
    <x v="2"/>
    <x v="40"/>
    <n v="1"/>
    <n v="550"/>
    <n v="850"/>
    <n v="850"/>
    <n v="550"/>
    <n v="300"/>
    <n v="0.35294117647058826"/>
    <x v="1"/>
  </r>
  <r>
    <x v="17"/>
    <n v="29"/>
    <x v="0"/>
    <x v="2"/>
    <x v="9"/>
    <x v="0"/>
    <x v="0"/>
    <x v="26"/>
    <n v="2"/>
    <n v="620"/>
    <n v="980"/>
    <n v="1960"/>
    <n v="1240"/>
    <n v="720"/>
    <n v="0.36734693877551022"/>
    <x v="1"/>
  </r>
  <r>
    <x v="79"/>
    <n v="29"/>
    <x v="0"/>
    <x v="4"/>
    <x v="11"/>
    <x v="1"/>
    <x v="0"/>
    <x v="45"/>
    <n v="3"/>
    <n v="480"/>
    <n v="760"/>
    <n v="2280"/>
    <n v="1440"/>
    <n v="840"/>
    <n v="0.36842105263157893"/>
    <x v="1"/>
  </r>
  <r>
    <x v="19"/>
    <n v="29"/>
    <x v="1"/>
    <x v="5"/>
    <x v="16"/>
    <x v="0"/>
    <x v="3"/>
    <x v="36"/>
    <n v="1"/>
    <n v="500"/>
    <n v="800"/>
    <n v="800"/>
    <n v="500"/>
    <n v="300"/>
    <n v="0.375"/>
    <x v="1"/>
  </r>
  <r>
    <x v="27"/>
    <n v="29"/>
    <x v="0"/>
    <x v="5"/>
    <x v="16"/>
    <x v="0"/>
    <x v="3"/>
    <x v="23"/>
    <n v="4"/>
    <n v="530"/>
    <n v="840"/>
    <n v="3360"/>
    <n v="2120"/>
    <n v="1240"/>
    <n v="0.36904761904761907"/>
    <x v="1"/>
  </r>
  <r>
    <x v="28"/>
    <n v="29"/>
    <x v="0"/>
    <x v="5"/>
    <x v="16"/>
    <x v="0"/>
    <x v="3"/>
    <x v="23"/>
    <n v="1"/>
    <n v="530"/>
    <n v="840"/>
    <n v="840"/>
    <n v="530"/>
    <n v="310"/>
    <n v="0.36904761904761907"/>
    <x v="1"/>
  </r>
  <r>
    <x v="51"/>
    <n v="29"/>
    <x v="1"/>
    <x v="0"/>
    <x v="2"/>
    <x v="0"/>
    <x v="0"/>
    <x v="28"/>
    <n v="1"/>
    <n v="580"/>
    <n v="920"/>
    <n v="920"/>
    <n v="580"/>
    <n v="340"/>
    <n v="0.36956521739130432"/>
    <x v="1"/>
  </r>
  <r>
    <x v="84"/>
    <n v="30"/>
    <x v="1"/>
    <x v="3"/>
    <x v="14"/>
    <x v="0"/>
    <x v="0"/>
    <x v="28"/>
    <n v="1"/>
    <n v="580"/>
    <n v="920"/>
    <n v="920"/>
    <n v="580"/>
    <n v="340"/>
    <n v="0.36956521739130432"/>
    <x v="1"/>
  </r>
  <r>
    <x v="85"/>
    <n v="30"/>
    <x v="0"/>
    <x v="2"/>
    <x v="5"/>
    <x v="1"/>
    <x v="2"/>
    <x v="20"/>
    <n v="4"/>
    <n v="550"/>
    <n v="850"/>
    <n v="3400"/>
    <n v="2200"/>
    <n v="1200"/>
    <n v="0.35294117647058826"/>
    <x v="1"/>
  </r>
  <r>
    <x v="52"/>
    <n v="30"/>
    <x v="1"/>
    <x v="2"/>
    <x v="7"/>
    <x v="1"/>
    <x v="0"/>
    <x v="46"/>
    <n v="4"/>
    <n v="480"/>
    <n v="760"/>
    <n v="3040"/>
    <n v="1920"/>
    <n v="1120"/>
    <n v="0.36842105263157893"/>
    <x v="1"/>
  </r>
  <r>
    <x v="10"/>
    <n v="30"/>
    <x v="0"/>
    <x v="3"/>
    <x v="13"/>
    <x v="0"/>
    <x v="1"/>
    <x v="47"/>
    <n v="1"/>
    <n v="620"/>
    <n v="980"/>
    <n v="980"/>
    <n v="620"/>
    <n v="360"/>
    <n v="0.36734693877551022"/>
    <x v="1"/>
  </r>
  <r>
    <x v="67"/>
    <n v="30"/>
    <x v="0"/>
    <x v="1"/>
    <x v="17"/>
    <x v="0"/>
    <x v="0"/>
    <x v="24"/>
    <n v="4"/>
    <n v="580"/>
    <n v="920"/>
    <n v="3680"/>
    <n v="2320"/>
    <n v="1360"/>
    <n v="0.36956521739130432"/>
    <x v="1"/>
  </r>
  <r>
    <x v="74"/>
    <n v="30"/>
    <x v="1"/>
    <x v="2"/>
    <x v="5"/>
    <x v="1"/>
    <x v="2"/>
    <x v="20"/>
    <n v="1"/>
    <n v="550"/>
    <n v="850"/>
    <n v="850"/>
    <n v="550"/>
    <n v="300"/>
    <n v="0.35294117647058826"/>
    <x v="1"/>
  </r>
  <r>
    <x v="69"/>
    <n v="30"/>
    <x v="0"/>
    <x v="1"/>
    <x v="21"/>
    <x v="0"/>
    <x v="1"/>
    <x v="16"/>
    <n v="3"/>
    <n v="900"/>
    <n v="1400"/>
    <n v="4200"/>
    <n v="2700"/>
    <n v="1500"/>
    <n v="0.35714285714285715"/>
    <x v="1"/>
  </r>
  <r>
    <x v="60"/>
    <n v="30"/>
    <x v="0"/>
    <x v="3"/>
    <x v="6"/>
    <x v="0"/>
    <x v="0"/>
    <x v="0"/>
    <n v="4"/>
    <n v="700"/>
    <n v="1100"/>
    <n v="4400"/>
    <n v="2800"/>
    <n v="1600"/>
    <n v="0.36363636363636365"/>
    <x v="1"/>
  </r>
  <r>
    <x v="20"/>
    <n v="30"/>
    <x v="1"/>
    <x v="0"/>
    <x v="1"/>
    <x v="1"/>
    <x v="2"/>
    <x v="20"/>
    <n v="1"/>
    <n v="550"/>
    <n v="850"/>
    <n v="850"/>
    <n v="550"/>
    <n v="300"/>
    <n v="0.35294117647058826"/>
    <x v="1"/>
  </r>
  <r>
    <x v="86"/>
    <n v="30"/>
    <x v="0"/>
    <x v="4"/>
    <x v="11"/>
    <x v="0"/>
    <x v="0"/>
    <x v="6"/>
    <n v="1"/>
    <n v="700"/>
    <n v="1100"/>
    <n v="1100"/>
    <n v="700"/>
    <n v="400"/>
    <n v="0.36363636363636365"/>
    <x v="1"/>
  </r>
  <r>
    <x v="46"/>
    <n v="30"/>
    <x v="1"/>
    <x v="1"/>
    <x v="15"/>
    <x v="0"/>
    <x v="0"/>
    <x v="48"/>
    <n v="1"/>
    <n v="620"/>
    <n v="980"/>
    <n v="980"/>
    <n v="620"/>
    <n v="360"/>
    <n v="0.36734693877551022"/>
    <x v="1"/>
  </r>
  <r>
    <x v="3"/>
    <n v="30"/>
    <x v="1"/>
    <x v="2"/>
    <x v="7"/>
    <x v="1"/>
    <x v="0"/>
    <x v="46"/>
    <n v="3"/>
    <n v="480"/>
    <n v="760"/>
    <n v="2280"/>
    <n v="1440"/>
    <n v="840"/>
    <n v="0.36842105263157893"/>
    <x v="1"/>
  </r>
  <r>
    <x v="87"/>
    <n v="30"/>
    <x v="0"/>
    <x v="2"/>
    <x v="5"/>
    <x v="1"/>
    <x v="2"/>
    <x v="20"/>
    <n v="2"/>
    <n v="550"/>
    <n v="850"/>
    <n v="1700"/>
    <n v="1100"/>
    <n v="600"/>
    <n v="0.35294117647058826"/>
    <x v="1"/>
  </r>
  <r>
    <x v="5"/>
    <n v="30"/>
    <x v="1"/>
    <x v="2"/>
    <x v="7"/>
    <x v="0"/>
    <x v="0"/>
    <x v="44"/>
    <n v="4"/>
    <n v="620"/>
    <n v="980"/>
    <n v="3920"/>
    <n v="2480"/>
    <n v="1440"/>
    <n v="0.36734693877551022"/>
    <x v="1"/>
  </r>
  <r>
    <x v="8"/>
    <n v="30"/>
    <x v="0"/>
    <x v="2"/>
    <x v="5"/>
    <x v="0"/>
    <x v="1"/>
    <x v="2"/>
    <n v="2"/>
    <n v="620"/>
    <n v="980"/>
    <n v="1960"/>
    <n v="1240"/>
    <n v="720"/>
    <n v="0.36734693877551022"/>
    <x v="1"/>
  </r>
  <r>
    <x v="25"/>
    <n v="30"/>
    <x v="0"/>
    <x v="2"/>
    <x v="7"/>
    <x v="1"/>
    <x v="2"/>
    <x v="49"/>
    <n v="4"/>
    <n v="450"/>
    <n v="720"/>
    <n v="2880"/>
    <n v="1800"/>
    <n v="1080"/>
    <n v="0.375"/>
    <x v="1"/>
  </r>
  <r>
    <x v="26"/>
    <n v="30"/>
    <x v="1"/>
    <x v="4"/>
    <x v="11"/>
    <x v="1"/>
    <x v="2"/>
    <x v="20"/>
    <n v="4"/>
    <n v="550"/>
    <n v="850"/>
    <n v="3400"/>
    <n v="2200"/>
    <n v="1200"/>
    <n v="0.35294117647058826"/>
    <x v="1"/>
  </r>
  <r>
    <x v="26"/>
    <n v="30"/>
    <x v="1"/>
    <x v="0"/>
    <x v="2"/>
    <x v="0"/>
    <x v="3"/>
    <x v="23"/>
    <n v="1"/>
    <n v="530"/>
    <n v="840"/>
    <n v="840"/>
    <n v="530"/>
    <n v="310"/>
    <n v="0.36904761904761907"/>
    <x v="1"/>
  </r>
  <r>
    <x v="88"/>
    <n v="30"/>
    <x v="1"/>
    <x v="2"/>
    <x v="5"/>
    <x v="1"/>
    <x v="2"/>
    <x v="20"/>
    <n v="2"/>
    <n v="550"/>
    <n v="850"/>
    <n v="1700"/>
    <n v="1100"/>
    <n v="600"/>
    <n v="0.35294117647058826"/>
    <x v="1"/>
  </r>
  <r>
    <x v="88"/>
    <n v="30"/>
    <x v="0"/>
    <x v="1"/>
    <x v="17"/>
    <x v="0"/>
    <x v="0"/>
    <x v="24"/>
    <n v="2"/>
    <n v="580"/>
    <n v="920"/>
    <n v="1840"/>
    <n v="1160"/>
    <n v="680"/>
    <n v="0.36956521739130432"/>
    <x v="1"/>
  </r>
  <r>
    <x v="19"/>
    <n v="30"/>
    <x v="1"/>
    <x v="2"/>
    <x v="5"/>
    <x v="1"/>
    <x v="2"/>
    <x v="20"/>
    <n v="3"/>
    <n v="550"/>
    <n v="850"/>
    <n v="2550"/>
    <n v="1650"/>
    <n v="900"/>
    <n v="0.35294117647058826"/>
    <x v="1"/>
  </r>
  <r>
    <x v="27"/>
    <n v="30"/>
    <x v="1"/>
    <x v="2"/>
    <x v="9"/>
    <x v="1"/>
    <x v="2"/>
    <x v="40"/>
    <n v="1"/>
    <n v="550"/>
    <n v="850"/>
    <n v="850"/>
    <n v="550"/>
    <n v="300"/>
    <n v="0.35294117647058826"/>
    <x v="1"/>
  </r>
  <r>
    <x v="59"/>
    <n v="30"/>
    <x v="0"/>
    <x v="2"/>
    <x v="7"/>
    <x v="1"/>
    <x v="2"/>
    <x v="49"/>
    <n v="2"/>
    <n v="450"/>
    <n v="720"/>
    <n v="1440"/>
    <n v="900"/>
    <n v="540"/>
    <n v="0.375"/>
    <x v="1"/>
  </r>
  <r>
    <x v="29"/>
    <n v="30"/>
    <x v="1"/>
    <x v="2"/>
    <x v="5"/>
    <x v="1"/>
    <x v="2"/>
    <x v="20"/>
    <n v="2"/>
    <n v="550"/>
    <n v="850"/>
    <n v="1700"/>
    <n v="1100"/>
    <n v="600"/>
    <n v="0.35294117647058826"/>
    <x v="1"/>
  </r>
  <r>
    <x v="42"/>
    <n v="30"/>
    <x v="0"/>
    <x v="1"/>
    <x v="22"/>
    <x v="0"/>
    <x v="3"/>
    <x v="36"/>
    <n v="2"/>
    <n v="500"/>
    <n v="800"/>
    <n v="1600"/>
    <n v="1000"/>
    <n v="600"/>
    <n v="0.375"/>
    <x v="1"/>
  </r>
  <r>
    <x v="51"/>
    <n v="30"/>
    <x v="0"/>
    <x v="0"/>
    <x v="0"/>
    <x v="0"/>
    <x v="1"/>
    <x v="16"/>
    <n v="1"/>
    <n v="900"/>
    <n v="1400"/>
    <n v="1400"/>
    <n v="900"/>
    <n v="500"/>
    <n v="0.35714285714285715"/>
    <x v="1"/>
  </r>
  <r>
    <x v="35"/>
    <n v="31"/>
    <x v="1"/>
    <x v="3"/>
    <x v="13"/>
    <x v="0"/>
    <x v="0"/>
    <x v="28"/>
    <n v="3"/>
    <n v="580"/>
    <n v="920"/>
    <n v="2760"/>
    <n v="1740"/>
    <n v="1020"/>
    <n v="0.36956521739130432"/>
    <x v="1"/>
  </r>
  <r>
    <x v="10"/>
    <n v="31"/>
    <x v="1"/>
    <x v="2"/>
    <x v="7"/>
    <x v="1"/>
    <x v="0"/>
    <x v="25"/>
    <n v="1"/>
    <n v="550"/>
    <n v="850"/>
    <n v="850"/>
    <n v="550"/>
    <n v="300"/>
    <n v="0.35294117647058826"/>
    <x v="1"/>
  </r>
  <r>
    <x v="81"/>
    <n v="31"/>
    <x v="0"/>
    <x v="3"/>
    <x v="6"/>
    <x v="0"/>
    <x v="1"/>
    <x v="34"/>
    <n v="1"/>
    <n v="580"/>
    <n v="920"/>
    <n v="920"/>
    <n v="580"/>
    <n v="340"/>
    <n v="0.36956521739130432"/>
    <x v="1"/>
  </r>
  <r>
    <x v="68"/>
    <n v="31"/>
    <x v="1"/>
    <x v="2"/>
    <x v="5"/>
    <x v="1"/>
    <x v="2"/>
    <x v="20"/>
    <n v="1"/>
    <n v="550"/>
    <n v="850"/>
    <n v="850"/>
    <n v="550"/>
    <n v="300"/>
    <n v="0.35294117647058826"/>
    <x v="1"/>
  </r>
  <r>
    <x v="68"/>
    <n v="31"/>
    <x v="0"/>
    <x v="0"/>
    <x v="0"/>
    <x v="0"/>
    <x v="3"/>
    <x v="35"/>
    <n v="1"/>
    <n v="500"/>
    <n v="800"/>
    <n v="800"/>
    <n v="500"/>
    <n v="300"/>
    <n v="0.375"/>
    <x v="1"/>
  </r>
  <r>
    <x v="44"/>
    <n v="31"/>
    <x v="1"/>
    <x v="0"/>
    <x v="0"/>
    <x v="1"/>
    <x v="0"/>
    <x v="15"/>
    <n v="4"/>
    <n v="550"/>
    <n v="850"/>
    <n v="3400"/>
    <n v="2200"/>
    <n v="1200"/>
    <n v="0.35294117647058826"/>
    <x v="1"/>
  </r>
  <r>
    <x v="36"/>
    <n v="31"/>
    <x v="0"/>
    <x v="3"/>
    <x v="8"/>
    <x v="0"/>
    <x v="0"/>
    <x v="22"/>
    <n v="3"/>
    <n v="700"/>
    <n v="1100"/>
    <n v="3300"/>
    <n v="2100"/>
    <n v="1200"/>
    <n v="0.36363636363636365"/>
    <x v="1"/>
  </r>
  <r>
    <x v="54"/>
    <n v="31"/>
    <x v="1"/>
    <x v="2"/>
    <x v="9"/>
    <x v="0"/>
    <x v="1"/>
    <x v="30"/>
    <n v="1"/>
    <n v="900"/>
    <n v="1400"/>
    <n v="1400"/>
    <n v="900"/>
    <n v="500"/>
    <n v="0.35714285714285715"/>
    <x v="1"/>
  </r>
  <r>
    <x v="39"/>
    <n v="31"/>
    <x v="0"/>
    <x v="5"/>
    <x v="16"/>
    <x v="0"/>
    <x v="3"/>
    <x v="37"/>
    <n v="1"/>
    <n v="530"/>
    <n v="840"/>
    <n v="840"/>
    <n v="530"/>
    <n v="310"/>
    <n v="0.36904761904761907"/>
    <x v="1"/>
  </r>
  <r>
    <x v="32"/>
    <n v="31"/>
    <x v="0"/>
    <x v="2"/>
    <x v="5"/>
    <x v="0"/>
    <x v="0"/>
    <x v="50"/>
    <n v="1"/>
    <n v="620"/>
    <n v="980"/>
    <n v="980"/>
    <n v="620"/>
    <n v="360"/>
    <n v="0.36734693877551022"/>
    <x v="1"/>
  </r>
  <r>
    <x v="33"/>
    <n v="31"/>
    <x v="1"/>
    <x v="0"/>
    <x v="10"/>
    <x v="0"/>
    <x v="0"/>
    <x v="24"/>
    <n v="1"/>
    <n v="580"/>
    <n v="920"/>
    <n v="920"/>
    <n v="580"/>
    <n v="340"/>
    <n v="0.36956521739130432"/>
    <x v="1"/>
  </r>
  <r>
    <x v="83"/>
    <n v="31"/>
    <x v="1"/>
    <x v="0"/>
    <x v="1"/>
    <x v="1"/>
    <x v="2"/>
    <x v="13"/>
    <n v="1"/>
    <n v="450"/>
    <n v="720"/>
    <n v="720"/>
    <n v="450"/>
    <n v="270"/>
    <n v="0.375"/>
    <x v="1"/>
  </r>
  <r>
    <x v="83"/>
    <n v="31"/>
    <x v="1"/>
    <x v="2"/>
    <x v="7"/>
    <x v="0"/>
    <x v="0"/>
    <x v="9"/>
    <n v="1"/>
    <n v="620"/>
    <n v="980"/>
    <n v="980"/>
    <n v="620"/>
    <n v="360"/>
    <n v="0.36734693877551022"/>
    <x v="1"/>
  </r>
  <r>
    <x v="57"/>
    <n v="31"/>
    <x v="1"/>
    <x v="2"/>
    <x v="7"/>
    <x v="0"/>
    <x v="0"/>
    <x v="9"/>
    <n v="4"/>
    <n v="620"/>
    <n v="980"/>
    <n v="3920"/>
    <n v="2480"/>
    <n v="1440"/>
    <n v="0.36734693877551022"/>
    <x v="1"/>
  </r>
  <r>
    <x v="41"/>
    <n v="31"/>
    <x v="1"/>
    <x v="0"/>
    <x v="1"/>
    <x v="1"/>
    <x v="2"/>
    <x v="13"/>
    <n v="4"/>
    <n v="450"/>
    <n v="720"/>
    <n v="2880"/>
    <n v="1800"/>
    <n v="1080"/>
    <n v="0.375"/>
    <x v="1"/>
  </r>
  <r>
    <x v="18"/>
    <n v="31"/>
    <x v="0"/>
    <x v="0"/>
    <x v="1"/>
    <x v="1"/>
    <x v="2"/>
    <x v="13"/>
    <n v="1"/>
    <n v="450"/>
    <n v="720"/>
    <n v="720"/>
    <n v="450"/>
    <n v="270"/>
    <n v="0.375"/>
    <x v="1"/>
  </r>
  <r>
    <x v="27"/>
    <n v="31"/>
    <x v="1"/>
    <x v="4"/>
    <x v="11"/>
    <x v="1"/>
    <x v="0"/>
    <x v="41"/>
    <n v="1"/>
    <n v="550"/>
    <n v="850"/>
    <n v="850"/>
    <n v="550"/>
    <n v="300"/>
    <n v="0.35294117647058826"/>
    <x v="1"/>
  </r>
  <r>
    <x v="63"/>
    <n v="31"/>
    <x v="0"/>
    <x v="5"/>
    <x v="16"/>
    <x v="0"/>
    <x v="3"/>
    <x v="37"/>
    <n v="4"/>
    <n v="530"/>
    <n v="840"/>
    <n v="3360"/>
    <n v="2120"/>
    <n v="1240"/>
    <n v="0.36904761904761907"/>
    <x v="1"/>
  </r>
  <r>
    <x v="29"/>
    <n v="31"/>
    <x v="0"/>
    <x v="0"/>
    <x v="1"/>
    <x v="1"/>
    <x v="2"/>
    <x v="13"/>
    <n v="3"/>
    <n v="450"/>
    <n v="720"/>
    <n v="2160"/>
    <n v="1350"/>
    <n v="810"/>
    <n v="0.375"/>
    <x v="1"/>
  </r>
  <r>
    <x v="52"/>
    <n v="32"/>
    <x v="1"/>
    <x v="2"/>
    <x v="5"/>
    <x v="1"/>
    <x v="0"/>
    <x v="25"/>
    <n v="3"/>
    <n v="550"/>
    <n v="850"/>
    <n v="2550"/>
    <n v="1650"/>
    <n v="900"/>
    <n v="0.35294117647058826"/>
    <x v="1"/>
  </r>
  <r>
    <x v="89"/>
    <n v="32"/>
    <x v="1"/>
    <x v="0"/>
    <x v="2"/>
    <x v="1"/>
    <x v="2"/>
    <x v="40"/>
    <n v="3"/>
    <n v="550"/>
    <n v="850"/>
    <n v="2550"/>
    <n v="1650"/>
    <n v="900"/>
    <n v="0.35294117647058826"/>
    <x v="1"/>
  </r>
  <r>
    <x v="66"/>
    <n v="32"/>
    <x v="1"/>
    <x v="1"/>
    <x v="4"/>
    <x v="0"/>
    <x v="1"/>
    <x v="43"/>
    <n v="1"/>
    <n v="900"/>
    <n v="1400"/>
    <n v="1400"/>
    <n v="900"/>
    <n v="500"/>
    <n v="0.35714285714285715"/>
    <x v="1"/>
  </r>
  <r>
    <x v="10"/>
    <n v="32"/>
    <x v="0"/>
    <x v="2"/>
    <x v="9"/>
    <x v="0"/>
    <x v="0"/>
    <x v="6"/>
    <n v="2"/>
    <n v="700"/>
    <n v="1100"/>
    <n v="2200"/>
    <n v="1400"/>
    <n v="800"/>
    <n v="0.36363636363636365"/>
    <x v="1"/>
  </r>
  <r>
    <x v="43"/>
    <n v="32"/>
    <x v="1"/>
    <x v="0"/>
    <x v="1"/>
    <x v="1"/>
    <x v="2"/>
    <x v="51"/>
    <n v="1"/>
    <n v="450"/>
    <n v="720"/>
    <n v="720"/>
    <n v="450"/>
    <n v="270"/>
    <n v="0.375"/>
    <x v="1"/>
  </r>
  <r>
    <x v="43"/>
    <n v="32"/>
    <x v="1"/>
    <x v="0"/>
    <x v="0"/>
    <x v="1"/>
    <x v="2"/>
    <x v="31"/>
    <n v="1"/>
    <n v="450"/>
    <n v="720"/>
    <n v="720"/>
    <n v="450"/>
    <n v="270"/>
    <n v="0.375"/>
    <x v="1"/>
  </r>
  <r>
    <x v="60"/>
    <n v="32"/>
    <x v="0"/>
    <x v="3"/>
    <x v="14"/>
    <x v="0"/>
    <x v="0"/>
    <x v="14"/>
    <n v="3"/>
    <n v="580"/>
    <n v="920"/>
    <n v="2760"/>
    <n v="1740"/>
    <n v="1020"/>
    <n v="0.36956521739130432"/>
    <x v="1"/>
  </r>
  <r>
    <x v="60"/>
    <n v="32"/>
    <x v="1"/>
    <x v="2"/>
    <x v="7"/>
    <x v="1"/>
    <x v="2"/>
    <x v="3"/>
    <n v="1"/>
    <n v="550"/>
    <n v="850"/>
    <n v="850"/>
    <n v="550"/>
    <n v="300"/>
    <n v="0.35294117647058826"/>
    <x v="1"/>
  </r>
  <r>
    <x v="44"/>
    <n v="32"/>
    <x v="1"/>
    <x v="2"/>
    <x v="7"/>
    <x v="1"/>
    <x v="2"/>
    <x v="3"/>
    <n v="4"/>
    <n v="550"/>
    <n v="850"/>
    <n v="3400"/>
    <n v="2200"/>
    <n v="1200"/>
    <n v="0.35294117647058826"/>
    <x v="1"/>
  </r>
  <r>
    <x v="45"/>
    <n v="32"/>
    <x v="0"/>
    <x v="1"/>
    <x v="15"/>
    <x v="0"/>
    <x v="1"/>
    <x v="16"/>
    <n v="1"/>
    <n v="900"/>
    <n v="1400"/>
    <n v="1400"/>
    <n v="900"/>
    <n v="500"/>
    <n v="0.35714285714285715"/>
    <x v="1"/>
  </r>
  <r>
    <x v="76"/>
    <n v="32"/>
    <x v="1"/>
    <x v="0"/>
    <x v="2"/>
    <x v="1"/>
    <x v="2"/>
    <x v="40"/>
    <n v="2"/>
    <n v="550"/>
    <n v="850"/>
    <n v="1700"/>
    <n v="1100"/>
    <n v="600"/>
    <n v="0.35294117647058826"/>
    <x v="1"/>
  </r>
  <r>
    <x v="76"/>
    <n v="32"/>
    <x v="0"/>
    <x v="0"/>
    <x v="2"/>
    <x v="0"/>
    <x v="3"/>
    <x v="29"/>
    <n v="1"/>
    <n v="530"/>
    <n v="840"/>
    <n v="840"/>
    <n v="530"/>
    <n v="310"/>
    <n v="0.36904761904761907"/>
    <x v="1"/>
  </r>
  <r>
    <x v="37"/>
    <n v="32"/>
    <x v="1"/>
    <x v="3"/>
    <x v="14"/>
    <x v="0"/>
    <x v="0"/>
    <x v="28"/>
    <n v="1"/>
    <n v="580"/>
    <n v="920"/>
    <n v="920"/>
    <n v="580"/>
    <n v="340"/>
    <n v="0.36956521739130432"/>
    <x v="1"/>
  </r>
  <r>
    <x v="62"/>
    <n v="32"/>
    <x v="1"/>
    <x v="3"/>
    <x v="13"/>
    <x v="0"/>
    <x v="1"/>
    <x v="4"/>
    <n v="4"/>
    <n v="900"/>
    <n v="1400"/>
    <n v="5600"/>
    <n v="3600"/>
    <n v="2000"/>
    <n v="0.35714285714285715"/>
    <x v="1"/>
  </r>
  <r>
    <x v="14"/>
    <n v="32"/>
    <x v="1"/>
    <x v="2"/>
    <x v="7"/>
    <x v="0"/>
    <x v="1"/>
    <x v="52"/>
    <n v="1"/>
    <n v="620"/>
    <n v="980"/>
    <n v="980"/>
    <n v="620"/>
    <n v="360"/>
    <n v="0.36734693877551022"/>
    <x v="1"/>
  </r>
  <r>
    <x v="78"/>
    <n v="32"/>
    <x v="1"/>
    <x v="0"/>
    <x v="2"/>
    <x v="1"/>
    <x v="2"/>
    <x v="40"/>
    <n v="3"/>
    <n v="550"/>
    <n v="850"/>
    <n v="2550"/>
    <n v="1650"/>
    <n v="900"/>
    <n v="0.35294117647058826"/>
    <x v="1"/>
  </r>
  <r>
    <x v="88"/>
    <n v="32"/>
    <x v="0"/>
    <x v="1"/>
    <x v="15"/>
    <x v="0"/>
    <x v="1"/>
    <x v="16"/>
    <n v="3"/>
    <n v="900"/>
    <n v="1400"/>
    <n v="4200"/>
    <n v="2700"/>
    <n v="1500"/>
    <n v="0.35714285714285715"/>
    <x v="1"/>
  </r>
  <r>
    <x v="88"/>
    <n v="32"/>
    <x v="0"/>
    <x v="1"/>
    <x v="23"/>
    <x v="0"/>
    <x v="3"/>
    <x v="17"/>
    <n v="3"/>
    <n v="500"/>
    <n v="800"/>
    <n v="2400"/>
    <n v="1500"/>
    <n v="900"/>
    <n v="0.375"/>
    <x v="1"/>
  </r>
  <r>
    <x v="88"/>
    <n v="32"/>
    <x v="0"/>
    <x v="2"/>
    <x v="7"/>
    <x v="1"/>
    <x v="0"/>
    <x v="15"/>
    <n v="1"/>
    <n v="550"/>
    <n v="850"/>
    <n v="850"/>
    <n v="550"/>
    <n v="300"/>
    <n v="0.35294117647058826"/>
    <x v="1"/>
  </r>
  <r>
    <x v="88"/>
    <n v="32"/>
    <x v="1"/>
    <x v="0"/>
    <x v="0"/>
    <x v="1"/>
    <x v="2"/>
    <x v="31"/>
    <n v="1"/>
    <n v="450"/>
    <n v="720"/>
    <n v="720"/>
    <n v="450"/>
    <n v="270"/>
    <n v="0.375"/>
    <x v="1"/>
  </r>
  <r>
    <x v="17"/>
    <n v="32"/>
    <x v="0"/>
    <x v="1"/>
    <x v="15"/>
    <x v="0"/>
    <x v="1"/>
    <x v="16"/>
    <n v="1"/>
    <n v="900"/>
    <n v="1400"/>
    <n v="1400"/>
    <n v="900"/>
    <n v="500"/>
    <n v="0.35714285714285715"/>
    <x v="1"/>
  </r>
  <r>
    <x v="64"/>
    <n v="32"/>
    <x v="0"/>
    <x v="1"/>
    <x v="17"/>
    <x v="0"/>
    <x v="1"/>
    <x v="4"/>
    <n v="4"/>
    <n v="900"/>
    <n v="1400"/>
    <n v="5600"/>
    <n v="3600"/>
    <n v="2000"/>
    <n v="0.35714285714285715"/>
    <x v="1"/>
  </r>
  <r>
    <x v="67"/>
    <n v="33"/>
    <x v="0"/>
    <x v="3"/>
    <x v="6"/>
    <x v="0"/>
    <x v="1"/>
    <x v="5"/>
    <n v="2"/>
    <n v="900"/>
    <n v="1400"/>
    <n v="2800"/>
    <n v="1800"/>
    <n v="1000"/>
    <n v="0.35714285714285715"/>
    <x v="1"/>
  </r>
  <r>
    <x v="46"/>
    <n v="33"/>
    <x v="1"/>
    <x v="0"/>
    <x v="0"/>
    <x v="0"/>
    <x v="0"/>
    <x v="14"/>
    <n v="4"/>
    <n v="580"/>
    <n v="920"/>
    <n v="3680"/>
    <n v="2320"/>
    <n v="1360"/>
    <n v="0.36956521739130432"/>
    <x v="1"/>
  </r>
  <r>
    <x v="46"/>
    <n v="33"/>
    <x v="1"/>
    <x v="1"/>
    <x v="21"/>
    <x v="0"/>
    <x v="1"/>
    <x v="43"/>
    <n v="3"/>
    <n v="900"/>
    <n v="1400"/>
    <n v="4200"/>
    <n v="2700"/>
    <n v="1500"/>
    <n v="0.35714285714285715"/>
    <x v="1"/>
  </r>
  <r>
    <x v="61"/>
    <n v="33"/>
    <x v="1"/>
    <x v="1"/>
    <x v="23"/>
    <x v="0"/>
    <x v="3"/>
    <x v="17"/>
    <n v="4"/>
    <n v="500"/>
    <n v="800"/>
    <n v="3200"/>
    <n v="2000"/>
    <n v="1200"/>
    <n v="0.375"/>
    <x v="1"/>
  </r>
  <r>
    <x v="31"/>
    <n v="33"/>
    <x v="1"/>
    <x v="2"/>
    <x v="7"/>
    <x v="1"/>
    <x v="0"/>
    <x v="41"/>
    <n v="1"/>
    <n v="550"/>
    <n v="850"/>
    <n v="850"/>
    <n v="550"/>
    <n v="300"/>
    <n v="0.35294117647058826"/>
    <x v="1"/>
  </r>
  <r>
    <x v="87"/>
    <n v="33"/>
    <x v="0"/>
    <x v="2"/>
    <x v="7"/>
    <x v="1"/>
    <x v="2"/>
    <x v="40"/>
    <n v="4"/>
    <n v="550"/>
    <n v="850"/>
    <n v="3400"/>
    <n v="2200"/>
    <n v="1200"/>
    <n v="0.35294117647058826"/>
    <x v="1"/>
  </r>
  <r>
    <x v="40"/>
    <n v="33"/>
    <x v="1"/>
    <x v="2"/>
    <x v="9"/>
    <x v="0"/>
    <x v="3"/>
    <x v="36"/>
    <n v="1"/>
    <n v="500"/>
    <n v="800"/>
    <n v="800"/>
    <n v="500"/>
    <n v="300"/>
    <n v="0.375"/>
    <x v="1"/>
  </r>
  <r>
    <x v="25"/>
    <n v="33"/>
    <x v="0"/>
    <x v="1"/>
    <x v="24"/>
    <x v="0"/>
    <x v="0"/>
    <x v="24"/>
    <n v="1"/>
    <n v="580"/>
    <n v="920"/>
    <n v="920"/>
    <n v="580"/>
    <n v="340"/>
    <n v="0.36956521739130432"/>
    <x v="1"/>
  </r>
  <r>
    <x v="70"/>
    <n v="33"/>
    <x v="1"/>
    <x v="0"/>
    <x v="0"/>
    <x v="1"/>
    <x v="0"/>
    <x v="53"/>
    <n v="2"/>
    <n v="400"/>
    <n v="650"/>
    <n v="1300"/>
    <n v="800"/>
    <n v="500"/>
    <n v="0.38461538461538464"/>
    <x v="1"/>
  </r>
  <r>
    <x v="16"/>
    <n v="33"/>
    <x v="1"/>
    <x v="5"/>
    <x v="16"/>
    <x v="0"/>
    <x v="3"/>
    <x v="23"/>
    <n v="3"/>
    <n v="530"/>
    <n v="840"/>
    <n v="2520"/>
    <n v="1590"/>
    <n v="930"/>
    <n v="0.36904761904761907"/>
    <x v="1"/>
  </r>
  <r>
    <x v="16"/>
    <n v="33"/>
    <x v="0"/>
    <x v="3"/>
    <x v="13"/>
    <x v="0"/>
    <x v="1"/>
    <x v="27"/>
    <n v="1"/>
    <n v="580"/>
    <n v="920"/>
    <n v="920"/>
    <n v="580"/>
    <n v="340"/>
    <n v="0.36956521739130432"/>
    <x v="1"/>
  </r>
  <r>
    <x v="88"/>
    <n v="33"/>
    <x v="1"/>
    <x v="3"/>
    <x v="8"/>
    <x v="0"/>
    <x v="1"/>
    <x v="4"/>
    <n v="4"/>
    <n v="900"/>
    <n v="1400"/>
    <n v="5600"/>
    <n v="3600"/>
    <n v="2000"/>
    <n v="0.35714285714285715"/>
    <x v="1"/>
  </r>
  <r>
    <x v="17"/>
    <n v="33"/>
    <x v="1"/>
    <x v="0"/>
    <x v="1"/>
    <x v="1"/>
    <x v="0"/>
    <x v="25"/>
    <n v="2"/>
    <n v="550"/>
    <n v="850"/>
    <n v="1700"/>
    <n v="1100"/>
    <n v="600"/>
    <n v="0.35294117647058826"/>
    <x v="1"/>
  </r>
  <r>
    <x v="79"/>
    <n v="33"/>
    <x v="1"/>
    <x v="0"/>
    <x v="0"/>
    <x v="1"/>
    <x v="0"/>
    <x v="53"/>
    <n v="4"/>
    <n v="400"/>
    <n v="650"/>
    <n v="2600"/>
    <n v="1600"/>
    <n v="1000"/>
    <n v="0.38461538461538464"/>
    <x v="1"/>
  </r>
  <r>
    <x v="79"/>
    <n v="33"/>
    <x v="0"/>
    <x v="1"/>
    <x v="28"/>
    <x v="0"/>
    <x v="0"/>
    <x v="10"/>
    <n v="3"/>
    <n v="580"/>
    <n v="920"/>
    <n v="2760"/>
    <n v="1740"/>
    <n v="1020"/>
    <n v="0.36956521739130432"/>
    <x v="1"/>
  </r>
  <r>
    <x v="64"/>
    <n v="33"/>
    <x v="1"/>
    <x v="0"/>
    <x v="1"/>
    <x v="1"/>
    <x v="0"/>
    <x v="25"/>
    <n v="1"/>
    <n v="550"/>
    <n v="850"/>
    <n v="850"/>
    <n v="550"/>
    <n v="300"/>
    <n v="0.35294117647058826"/>
    <x v="1"/>
  </r>
  <r>
    <x v="84"/>
    <n v="34"/>
    <x v="1"/>
    <x v="0"/>
    <x v="1"/>
    <x v="0"/>
    <x v="0"/>
    <x v="28"/>
    <n v="4"/>
    <n v="580"/>
    <n v="920"/>
    <n v="3680"/>
    <n v="2320"/>
    <n v="1360"/>
    <n v="0.36956521739130432"/>
    <x v="1"/>
  </r>
  <r>
    <x v="54"/>
    <n v="34"/>
    <x v="1"/>
    <x v="3"/>
    <x v="8"/>
    <x v="0"/>
    <x v="0"/>
    <x v="0"/>
    <n v="1"/>
    <n v="700"/>
    <n v="1100"/>
    <n v="1100"/>
    <n v="700"/>
    <n v="400"/>
    <n v="0.36363636363636365"/>
    <x v="1"/>
  </r>
  <r>
    <x v="30"/>
    <n v="34"/>
    <x v="0"/>
    <x v="3"/>
    <x v="12"/>
    <x v="1"/>
    <x v="2"/>
    <x v="13"/>
    <n v="1"/>
    <n v="450"/>
    <n v="720"/>
    <n v="720"/>
    <n v="450"/>
    <n v="270"/>
    <n v="0.375"/>
    <x v="1"/>
  </r>
  <r>
    <x v="3"/>
    <n v="34"/>
    <x v="1"/>
    <x v="3"/>
    <x v="14"/>
    <x v="0"/>
    <x v="3"/>
    <x v="37"/>
    <n v="4"/>
    <n v="530"/>
    <n v="840"/>
    <n v="3360"/>
    <n v="2120"/>
    <n v="1240"/>
    <n v="0.36904761904761907"/>
    <x v="1"/>
  </r>
  <r>
    <x v="23"/>
    <n v="34"/>
    <x v="1"/>
    <x v="2"/>
    <x v="7"/>
    <x v="0"/>
    <x v="0"/>
    <x v="10"/>
    <n v="1"/>
    <n v="580"/>
    <n v="920"/>
    <n v="920"/>
    <n v="580"/>
    <n v="340"/>
    <n v="0.36956521739130432"/>
    <x v="1"/>
  </r>
  <r>
    <x v="38"/>
    <n v="34"/>
    <x v="1"/>
    <x v="3"/>
    <x v="8"/>
    <x v="0"/>
    <x v="0"/>
    <x v="0"/>
    <n v="1"/>
    <n v="700"/>
    <n v="1100"/>
    <n v="1100"/>
    <n v="700"/>
    <n v="400"/>
    <n v="0.36363636363636365"/>
    <x v="1"/>
  </r>
  <r>
    <x v="40"/>
    <n v="34"/>
    <x v="1"/>
    <x v="1"/>
    <x v="4"/>
    <x v="0"/>
    <x v="1"/>
    <x v="5"/>
    <n v="3"/>
    <n v="900"/>
    <n v="1400"/>
    <n v="4200"/>
    <n v="2700"/>
    <n v="1500"/>
    <n v="0.35714285714285715"/>
    <x v="1"/>
  </r>
  <r>
    <x v="33"/>
    <n v="34"/>
    <x v="0"/>
    <x v="0"/>
    <x v="1"/>
    <x v="0"/>
    <x v="3"/>
    <x v="23"/>
    <n v="1"/>
    <n v="530"/>
    <n v="840"/>
    <n v="840"/>
    <n v="530"/>
    <n v="310"/>
    <n v="0.36904761904761907"/>
    <x v="1"/>
  </r>
  <r>
    <x v="57"/>
    <n v="34"/>
    <x v="1"/>
    <x v="1"/>
    <x v="15"/>
    <x v="0"/>
    <x v="1"/>
    <x v="5"/>
    <n v="3"/>
    <n v="900"/>
    <n v="1400"/>
    <n v="4200"/>
    <n v="2700"/>
    <n v="1500"/>
    <n v="0.35714285714285715"/>
    <x v="1"/>
  </r>
  <r>
    <x v="57"/>
    <n v="34"/>
    <x v="1"/>
    <x v="0"/>
    <x v="3"/>
    <x v="0"/>
    <x v="3"/>
    <x v="11"/>
    <n v="2"/>
    <n v="500"/>
    <n v="800"/>
    <n v="1600"/>
    <n v="1000"/>
    <n v="600"/>
    <n v="0.375"/>
    <x v="1"/>
  </r>
  <r>
    <x v="57"/>
    <n v="34"/>
    <x v="1"/>
    <x v="5"/>
    <x v="16"/>
    <x v="0"/>
    <x v="3"/>
    <x v="29"/>
    <n v="1"/>
    <n v="530"/>
    <n v="840"/>
    <n v="840"/>
    <n v="530"/>
    <n v="310"/>
    <n v="0.36904761904761907"/>
    <x v="1"/>
  </r>
  <r>
    <x v="70"/>
    <n v="34"/>
    <x v="0"/>
    <x v="0"/>
    <x v="2"/>
    <x v="0"/>
    <x v="0"/>
    <x v="14"/>
    <n v="2"/>
    <n v="580"/>
    <n v="920"/>
    <n v="1840"/>
    <n v="1160"/>
    <n v="680"/>
    <n v="0.36956521739130432"/>
    <x v="1"/>
  </r>
  <r>
    <x v="48"/>
    <n v="34"/>
    <x v="0"/>
    <x v="5"/>
    <x v="16"/>
    <x v="0"/>
    <x v="3"/>
    <x v="35"/>
    <n v="3"/>
    <n v="500"/>
    <n v="800"/>
    <n v="2400"/>
    <n v="1500"/>
    <n v="900"/>
    <n v="0.375"/>
    <x v="1"/>
  </r>
  <r>
    <x v="48"/>
    <n v="34"/>
    <x v="1"/>
    <x v="2"/>
    <x v="7"/>
    <x v="1"/>
    <x v="0"/>
    <x v="41"/>
    <n v="2"/>
    <n v="550"/>
    <n v="850"/>
    <n v="1700"/>
    <n v="1100"/>
    <n v="600"/>
    <n v="0.35294117647058826"/>
    <x v="1"/>
  </r>
  <r>
    <x v="48"/>
    <n v="34"/>
    <x v="0"/>
    <x v="2"/>
    <x v="7"/>
    <x v="1"/>
    <x v="0"/>
    <x v="12"/>
    <n v="1"/>
    <n v="480"/>
    <n v="760"/>
    <n v="760"/>
    <n v="480"/>
    <n v="280"/>
    <n v="0.36842105263157893"/>
    <x v="1"/>
  </r>
  <r>
    <x v="48"/>
    <n v="34"/>
    <x v="1"/>
    <x v="2"/>
    <x v="5"/>
    <x v="1"/>
    <x v="2"/>
    <x v="54"/>
    <n v="1"/>
    <n v="400"/>
    <n v="650"/>
    <n v="650"/>
    <n v="400"/>
    <n v="250"/>
    <n v="0.38461538461538464"/>
    <x v="1"/>
  </r>
  <r>
    <x v="16"/>
    <n v="34"/>
    <x v="0"/>
    <x v="0"/>
    <x v="1"/>
    <x v="1"/>
    <x v="0"/>
    <x v="25"/>
    <n v="2"/>
    <n v="550"/>
    <n v="850"/>
    <n v="1700"/>
    <n v="1100"/>
    <n v="600"/>
    <n v="0.35294117647058826"/>
    <x v="1"/>
  </r>
  <r>
    <x v="16"/>
    <n v="34"/>
    <x v="0"/>
    <x v="3"/>
    <x v="13"/>
    <x v="0"/>
    <x v="1"/>
    <x v="1"/>
    <n v="1"/>
    <n v="620"/>
    <n v="980"/>
    <n v="980"/>
    <n v="620"/>
    <n v="360"/>
    <n v="0.36734693877551022"/>
    <x v="1"/>
  </r>
  <r>
    <x v="79"/>
    <n v="34"/>
    <x v="1"/>
    <x v="5"/>
    <x v="16"/>
    <x v="0"/>
    <x v="3"/>
    <x v="29"/>
    <n v="4"/>
    <n v="530"/>
    <n v="840"/>
    <n v="3360"/>
    <n v="2120"/>
    <n v="1240"/>
    <n v="0.36904761904761907"/>
    <x v="1"/>
  </r>
  <r>
    <x v="27"/>
    <n v="34"/>
    <x v="0"/>
    <x v="0"/>
    <x v="2"/>
    <x v="0"/>
    <x v="0"/>
    <x v="14"/>
    <n v="2"/>
    <n v="580"/>
    <n v="920"/>
    <n v="1840"/>
    <n v="1160"/>
    <n v="680"/>
    <n v="0.36956521739130432"/>
    <x v="1"/>
  </r>
  <r>
    <x v="27"/>
    <n v="34"/>
    <x v="1"/>
    <x v="0"/>
    <x v="10"/>
    <x v="0"/>
    <x v="3"/>
    <x v="11"/>
    <n v="2"/>
    <n v="500"/>
    <n v="800"/>
    <n v="1600"/>
    <n v="1000"/>
    <n v="600"/>
    <n v="0.375"/>
    <x v="1"/>
  </r>
  <r>
    <x v="28"/>
    <n v="34"/>
    <x v="1"/>
    <x v="2"/>
    <x v="7"/>
    <x v="1"/>
    <x v="0"/>
    <x v="41"/>
    <n v="1"/>
    <n v="550"/>
    <n v="850"/>
    <n v="850"/>
    <n v="550"/>
    <n v="300"/>
    <n v="0.35294117647058826"/>
    <x v="1"/>
  </r>
  <r>
    <x v="63"/>
    <n v="34"/>
    <x v="1"/>
    <x v="0"/>
    <x v="2"/>
    <x v="0"/>
    <x v="1"/>
    <x v="5"/>
    <n v="1"/>
    <n v="900"/>
    <n v="1400"/>
    <n v="1400"/>
    <n v="900"/>
    <n v="500"/>
    <n v="0.35714285714285715"/>
    <x v="1"/>
  </r>
  <r>
    <x v="59"/>
    <n v="34"/>
    <x v="0"/>
    <x v="2"/>
    <x v="7"/>
    <x v="1"/>
    <x v="0"/>
    <x v="12"/>
    <n v="1"/>
    <n v="480"/>
    <n v="760"/>
    <n v="760"/>
    <n v="480"/>
    <n v="280"/>
    <n v="0.36842105263157893"/>
    <x v="1"/>
  </r>
  <r>
    <x v="29"/>
    <n v="34"/>
    <x v="0"/>
    <x v="0"/>
    <x v="0"/>
    <x v="1"/>
    <x v="0"/>
    <x v="55"/>
    <n v="1"/>
    <n v="400"/>
    <n v="650"/>
    <n v="650"/>
    <n v="400"/>
    <n v="250"/>
    <n v="0.38461538461538464"/>
    <x v="1"/>
  </r>
  <r>
    <x v="42"/>
    <n v="34"/>
    <x v="0"/>
    <x v="5"/>
    <x v="16"/>
    <x v="0"/>
    <x v="3"/>
    <x v="35"/>
    <n v="1"/>
    <n v="500"/>
    <n v="800"/>
    <n v="800"/>
    <n v="500"/>
    <n v="300"/>
    <n v="0.375"/>
    <x v="1"/>
  </r>
  <r>
    <x v="35"/>
    <n v="35"/>
    <x v="1"/>
    <x v="4"/>
    <x v="11"/>
    <x v="0"/>
    <x v="0"/>
    <x v="6"/>
    <n v="4"/>
    <n v="700"/>
    <n v="1100"/>
    <n v="4400"/>
    <n v="2800"/>
    <n v="1600"/>
    <n v="0.36363636363636365"/>
    <x v="2"/>
  </r>
  <r>
    <x v="65"/>
    <n v="35"/>
    <x v="0"/>
    <x v="0"/>
    <x v="3"/>
    <x v="0"/>
    <x v="3"/>
    <x v="23"/>
    <n v="1"/>
    <n v="530"/>
    <n v="840"/>
    <n v="840"/>
    <n v="530"/>
    <n v="310"/>
    <n v="0.36904761904761907"/>
    <x v="2"/>
  </r>
  <r>
    <x v="69"/>
    <n v="35"/>
    <x v="1"/>
    <x v="4"/>
    <x v="11"/>
    <x v="0"/>
    <x v="0"/>
    <x v="6"/>
    <n v="1"/>
    <n v="700"/>
    <n v="1100"/>
    <n v="1100"/>
    <n v="700"/>
    <n v="400"/>
    <n v="0.36363636363636365"/>
    <x v="2"/>
  </r>
  <r>
    <x v="60"/>
    <n v="35"/>
    <x v="0"/>
    <x v="4"/>
    <x v="11"/>
    <x v="0"/>
    <x v="0"/>
    <x v="6"/>
    <n v="2"/>
    <n v="700"/>
    <n v="1100"/>
    <n v="2200"/>
    <n v="1400"/>
    <n v="800"/>
    <n v="0.36363636363636365"/>
    <x v="2"/>
  </r>
  <r>
    <x v="21"/>
    <n v="35"/>
    <x v="1"/>
    <x v="3"/>
    <x v="8"/>
    <x v="0"/>
    <x v="0"/>
    <x v="14"/>
    <n v="1"/>
    <n v="580"/>
    <n v="920"/>
    <n v="920"/>
    <n v="580"/>
    <n v="340"/>
    <n v="0.36956521739130432"/>
    <x v="2"/>
  </r>
  <r>
    <x v="2"/>
    <n v="35"/>
    <x v="0"/>
    <x v="4"/>
    <x v="11"/>
    <x v="1"/>
    <x v="0"/>
    <x v="19"/>
    <n v="2"/>
    <n v="480"/>
    <n v="760"/>
    <n v="1520"/>
    <n v="960"/>
    <n v="560"/>
    <n v="0.36842105263157893"/>
    <x v="2"/>
  </r>
  <r>
    <x v="62"/>
    <n v="35"/>
    <x v="0"/>
    <x v="2"/>
    <x v="5"/>
    <x v="0"/>
    <x v="1"/>
    <x v="43"/>
    <n v="4"/>
    <n v="900"/>
    <n v="1400"/>
    <n v="5600"/>
    <n v="3600"/>
    <n v="2000"/>
    <n v="0.35714285714285715"/>
    <x v="2"/>
  </r>
  <r>
    <x v="83"/>
    <n v="35"/>
    <x v="0"/>
    <x v="0"/>
    <x v="1"/>
    <x v="0"/>
    <x v="3"/>
    <x v="29"/>
    <n v="2"/>
    <n v="530"/>
    <n v="840"/>
    <n v="1680"/>
    <n v="1060"/>
    <n v="620"/>
    <n v="0.36904761904761907"/>
    <x v="2"/>
  </r>
  <r>
    <x v="77"/>
    <n v="35"/>
    <x v="1"/>
    <x v="0"/>
    <x v="2"/>
    <x v="1"/>
    <x v="2"/>
    <x v="20"/>
    <n v="1"/>
    <n v="550"/>
    <n v="850"/>
    <n v="850"/>
    <n v="550"/>
    <n v="300"/>
    <n v="0.35294117647058826"/>
    <x v="2"/>
  </r>
  <r>
    <x v="26"/>
    <n v="35"/>
    <x v="1"/>
    <x v="2"/>
    <x v="7"/>
    <x v="1"/>
    <x v="0"/>
    <x v="56"/>
    <n v="1"/>
    <n v="480"/>
    <n v="760"/>
    <n v="760"/>
    <n v="480"/>
    <n v="280"/>
    <n v="0.36842105263157893"/>
    <x v="2"/>
  </r>
  <r>
    <x v="16"/>
    <n v="35"/>
    <x v="1"/>
    <x v="0"/>
    <x v="0"/>
    <x v="1"/>
    <x v="2"/>
    <x v="40"/>
    <n v="1"/>
    <n v="550"/>
    <n v="850"/>
    <n v="850"/>
    <n v="550"/>
    <n v="300"/>
    <n v="0.35294117647058826"/>
    <x v="2"/>
  </r>
  <r>
    <x v="78"/>
    <n v="35"/>
    <x v="1"/>
    <x v="3"/>
    <x v="13"/>
    <x v="0"/>
    <x v="3"/>
    <x v="38"/>
    <n v="1"/>
    <n v="530"/>
    <n v="840"/>
    <n v="840"/>
    <n v="530"/>
    <n v="310"/>
    <n v="0.36904761904761907"/>
    <x v="2"/>
  </r>
  <r>
    <x v="58"/>
    <n v="35"/>
    <x v="1"/>
    <x v="0"/>
    <x v="1"/>
    <x v="1"/>
    <x v="2"/>
    <x v="18"/>
    <n v="4"/>
    <n v="480"/>
    <n v="760"/>
    <n v="3040"/>
    <n v="1920"/>
    <n v="1120"/>
    <n v="0.36842105263157893"/>
    <x v="2"/>
  </r>
  <r>
    <x v="9"/>
    <n v="35"/>
    <x v="1"/>
    <x v="2"/>
    <x v="9"/>
    <x v="1"/>
    <x v="0"/>
    <x v="57"/>
    <n v="4"/>
    <n v="400"/>
    <n v="650"/>
    <n v="2600"/>
    <n v="1600"/>
    <n v="1000"/>
    <n v="0.38461538461538464"/>
    <x v="2"/>
  </r>
  <r>
    <x v="79"/>
    <n v="35"/>
    <x v="0"/>
    <x v="1"/>
    <x v="26"/>
    <x v="0"/>
    <x v="1"/>
    <x v="30"/>
    <n v="3"/>
    <n v="900"/>
    <n v="1400"/>
    <n v="4200"/>
    <n v="2700"/>
    <n v="1500"/>
    <n v="0.35714285714285715"/>
    <x v="2"/>
  </r>
  <r>
    <x v="79"/>
    <n v="35"/>
    <x v="1"/>
    <x v="0"/>
    <x v="2"/>
    <x v="1"/>
    <x v="2"/>
    <x v="20"/>
    <n v="1"/>
    <n v="550"/>
    <n v="850"/>
    <n v="850"/>
    <n v="550"/>
    <n v="300"/>
    <n v="0.35294117647058826"/>
    <x v="2"/>
  </r>
  <r>
    <x v="79"/>
    <n v="35"/>
    <x v="0"/>
    <x v="0"/>
    <x v="0"/>
    <x v="1"/>
    <x v="2"/>
    <x v="20"/>
    <n v="1"/>
    <n v="550"/>
    <n v="850"/>
    <n v="850"/>
    <n v="550"/>
    <n v="300"/>
    <n v="0.35294117647058826"/>
    <x v="2"/>
  </r>
  <r>
    <x v="79"/>
    <n v="35"/>
    <x v="1"/>
    <x v="0"/>
    <x v="2"/>
    <x v="0"/>
    <x v="3"/>
    <x v="38"/>
    <n v="1"/>
    <n v="530"/>
    <n v="840"/>
    <n v="840"/>
    <n v="530"/>
    <n v="310"/>
    <n v="0.36904761904761907"/>
    <x v="2"/>
  </r>
  <r>
    <x v="27"/>
    <n v="35"/>
    <x v="1"/>
    <x v="2"/>
    <x v="7"/>
    <x v="1"/>
    <x v="0"/>
    <x v="56"/>
    <n v="1"/>
    <n v="480"/>
    <n v="760"/>
    <n v="760"/>
    <n v="480"/>
    <n v="280"/>
    <n v="0.36842105263157893"/>
    <x v="2"/>
  </r>
  <r>
    <x v="29"/>
    <n v="35"/>
    <x v="1"/>
    <x v="0"/>
    <x v="1"/>
    <x v="0"/>
    <x v="3"/>
    <x v="23"/>
    <n v="4"/>
    <n v="530"/>
    <n v="840"/>
    <n v="3360"/>
    <n v="2120"/>
    <n v="1240"/>
    <n v="0.36904761904761907"/>
    <x v="2"/>
  </r>
  <r>
    <x v="42"/>
    <n v="35"/>
    <x v="1"/>
    <x v="3"/>
    <x v="13"/>
    <x v="0"/>
    <x v="3"/>
    <x v="38"/>
    <n v="1"/>
    <n v="530"/>
    <n v="840"/>
    <n v="840"/>
    <n v="530"/>
    <n v="310"/>
    <n v="0.36904761904761907"/>
    <x v="2"/>
  </r>
  <r>
    <x v="72"/>
    <n v="36"/>
    <x v="1"/>
    <x v="2"/>
    <x v="7"/>
    <x v="0"/>
    <x v="1"/>
    <x v="52"/>
    <n v="1"/>
    <n v="620"/>
    <n v="980"/>
    <n v="980"/>
    <n v="620"/>
    <n v="360"/>
    <n v="0.36734693877551022"/>
    <x v="2"/>
  </r>
  <r>
    <x v="84"/>
    <n v="36"/>
    <x v="0"/>
    <x v="0"/>
    <x v="10"/>
    <x v="0"/>
    <x v="3"/>
    <x v="33"/>
    <n v="1"/>
    <n v="500"/>
    <n v="800"/>
    <n v="800"/>
    <n v="500"/>
    <n v="300"/>
    <n v="0.375"/>
    <x v="2"/>
  </r>
  <r>
    <x v="89"/>
    <n v="36"/>
    <x v="1"/>
    <x v="0"/>
    <x v="2"/>
    <x v="0"/>
    <x v="3"/>
    <x v="38"/>
    <n v="3"/>
    <n v="530"/>
    <n v="840"/>
    <n v="2520"/>
    <n v="1590"/>
    <n v="930"/>
    <n v="0.36904761904761907"/>
    <x v="2"/>
  </r>
  <r>
    <x v="90"/>
    <n v="36"/>
    <x v="1"/>
    <x v="2"/>
    <x v="7"/>
    <x v="0"/>
    <x v="1"/>
    <x v="52"/>
    <n v="1"/>
    <n v="620"/>
    <n v="980"/>
    <n v="980"/>
    <n v="620"/>
    <n v="360"/>
    <n v="0.36734693877551022"/>
    <x v="2"/>
  </r>
  <r>
    <x v="82"/>
    <n v="36"/>
    <x v="1"/>
    <x v="0"/>
    <x v="2"/>
    <x v="0"/>
    <x v="3"/>
    <x v="38"/>
    <n v="3"/>
    <n v="530"/>
    <n v="840"/>
    <n v="2520"/>
    <n v="1590"/>
    <n v="930"/>
    <n v="0.36904761904761907"/>
    <x v="2"/>
  </r>
  <r>
    <x v="75"/>
    <n v="36"/>
    <x v="0"/>
    <x v="1"/>
    <x v="23"/>
    <x v="0"/>
    <x v="3"/>
    <x v="38"/>
    <n v="1"/>
    <n v="530"/>
    <n v="840"/>
    <n v="840"/>
    <n v="530"/>
    <n v="310"/>
    <n v="0.36904761904761907"/>
    <x v="2"/>
  </r>
  <r>
    <x v="86"/>
    <n v="36"/>
    <x v="1"/>
    <x v="0"/>
    <x v="0"/>
    <x v="0"/>
    <x v="3"/>
    <x v="33"/>
    <n v="1"/>
    <n v="500"/>
    <n v="800"/>
    <n v="800"/>
    <n v="500"/>
    <n v="300"/>
    <n v="0.375"/>
    <x v="2"/>
  </r>
  <r>
    <x v="46"/>
    <n v="36"/>
    <x v="1"/>
    <x v="2"/>
    <x v="9"/>
    <x v="0"/>
    <x v="0"/>
    <x v="14"/>
    <n v="1"/>
    <n v="580"/>
    <n v="920"/>
    <n v="920"/>
    <n v="580"/>
    <n v="340"/>
    <n v="0.36956521739130432"/>
    <x v="2"/>
  </r>
  <r>
    <x v="21"/>
    <n v="36"/>
    <x v="1"/>
    <x v="2"/>
    <x v="7"/>
    <x v="0"/>
    <x v="1"/>
    <x v="52"/>
    <n v="2"/>
    <n v="620"/>
    <n v="980"/>
    <n v="1960"/>
    <n v="1240"/>
    <n v="720"/>
    <n v="0.36734693877551022"/>
    <x v="2"/>
  </r>
  <r>
    <x v="6"/>
    <n v="36"/>
    <x v="0"/>
    <x v="3"/>
    <x v="8"/>
    <x v="1"/>
    <x v="0"/>
    <x v="25"/>
    <n v="1"/>
    <n v="550"/>
    <n v="850"/>
    <n v="850"/>
    <n v="550"/>
    <n v="300"/>
    <n v="0.35294117647058826"/>
    <x v="2"/>
  </r>
  <r>
    <x v="8"/>
    <n v="36"/>
    <x v="1"/>
    <x v="2"/>
    <x v="7"/>
    <x v="0"/>
    <x v="1"/>
    <x v="52"/>
    <n v="1"/>
    <n v="620"/>
    <n v="980"/>
    <n v="980"/>
    <n v="620"/>
    <n v="360"/>
    <n v="0.36734693877551022"/>
    <x v="2"/>
  </r>
  <r>
    <x v="33"/>
    <n v="36"/>
    <x v="1"/>
    <x v="3"/>
    <x v="29"/>
    <x v="0"/>
    <x v="3"/>
    <x v="17"/>
    <n v="2"/>
    <n v="500"/>
    <n v="800"/>
    <n v="1600"/>
    <n v="1000"/>
    <n v="600"/>
    <n v="0.375"/>
    <x v="2"/>
  </r>
  <r>
    <x v="47"/>
    <n v="36"/>
    <x v="0"/>
    <x v="0"/>
    <x v="1"/>
    <x v="1"/>
    <x v="0"/>
    <x v="41"/>
    <n v="1"/>
    <n v="550"/>
    <n v="850"/>
    <n v="850"/>
    <n v="550"/>
    <n v="300"/>
    <n v="0.35294117647058826"/>
    <x v="2"/>
  </r>
  <r>
    <x v="25"/>
    <n v="36"/>
    <x v="1"/>
    <x v="3"/>
    <x v="12"/>
    <x v="0"/>
    <x v="1"/>
    <x v="5"/>
    <n v="4"/>
    <n v="900"/>
    <n v="1400"/>
    <n v="5600"/>
    <n v="3600"/>
    <n v="2000"/>
    <n v="0.35714285714285715"/>
    <x v="2"/>
  </r>
  <r>
    <x v="25"/>
    <n v="36"/>
    <x v="1"/>
    <x v="0"/>
    <x v="1"/>
    <x v="0"/>
    <x v="3"/>
    <x v="37"/>
    <n v="1"/>
    <n v="530"/>
    <n v="840"/>
    <n v="840"/>
    <n v="530"/>
    <n v="310"/>
    <n v="0.36904761904761907"/>
    <x v="2"/>
  </r>
  <r>
    <x v="26"/>
    <n v="36"/>
    <x v="1"/>
    <x v="0"/>
    <x v="1"/>
    <x v="0"/>
    <x v="3"/>
    <x v="37"/>
    <n v="4"/>
    <n v="530"/>
    <n v="840"/>
    <n v="3360"/>
    <n v="2120"/>
    <n v="1240"/>
    <n v="0.36904761904761907"/>
    <x v="2"/>
  </r>
  <r>
    <x v="15"/>
    <n v="36"/>
    <x v="1"/>
    <x v="0"/>
    <x v="2"/>
    <x v="0"/>
    <x v="3"/>
    <x v="38"/>
    <n v="2"/>
    <n v="530"/>
    <n v="840"/>
    <n v="1680"/>
    <n v="1060"/>
    <n v="620"/>
    <n v="0.36904761904761907"/>
    <x v="2"/>
  </r>
  <r>
    <x v="16"/>
    <n v="36"/>
    <x v="1"/>
    <x v="0"/>
    <x v="1"/>
    <x v="1"/>
    <x v="2"/>
    <x v="40"/>
    <n v="4"/>
    <n v="550"/>
    <n v="850"/>
    <n v="3400"/>
    <n v="2200"/>
    <n v="1200"/>
    <n v="0.35294117647058826"/>
    <x v="2"/>
  </r>
  <r>
    <x v="88"/>
    <n v="36"/>
    <x v="1"/>
    <x v="0"/>
    <x v="10"/>
    <x v="0"/>
    <x v="1"/>
    <x v="30"/>
    <n v="2"/>
    <n v="900"/>
    <n v="1400"/>
    <n v="2800"/>
    <n v="1800"/>
    <n v="1000"/>
    <n v="0.35714285714285715"/>
    <x v="2"/>
  </r>
  <r>
    <x v="88"/>
    <n v="36"/>
    <x v="1"/>
    <x v="0"/>
    <x v="0"/>
    <x v="0"/>
    <x v="3"/>
    <x v="33"/>
    <n v="1"/>
    <n v="500"/>
    <n v="800"/>
    <n v="800"/>
    <n v="500"/>
    <n v="300"/>
    <n v="0.375"/>
    <x v="2"/>
  </r>
  <r>
    <x v="49"/>
    <n v="36"/>
    <x v="0"/>
    <x v="3"/>
    <x v="13"/>
    <x v="0"/>
    <x v="3"/>
    <x v="23"/>
    <n v="3"/>
    <n v="530"/>
    <n v="840"/>
    <n v="2520"/>
    <n v="1590"/>
    <n v="930"/>
    <n v="0.36904761904761907"/>
    <x v="2"/>
  </r>
  <r>
    <x v="18"/>
    <n v="36"/>
    <x v="1"/>
    <x v="0"/>
    <x v="1"/>
    <x v="0"/>
    <x v="3"/>
    <x v="37"/>
    <n v="4"/>
    <n v="530"/>
    <n v="840"/>
    <n v="3360"/>
    <n v="2120"/>
    <n v="1240"/>
    <n v="0.36904761904761907"/>
    <x v="2"/>
  </r>
  <r>
    <x v="58"/>
    <n v="36"/>
    <x v="0"/>
    <x v="2"/>
    <x v="5"/>
    <x v="1"/>
    <x v="2"/>
    <x v="20"/>
    <n v="1"/>
    <n v="550"/>
    <n v="850"/>
    <n v="850"/>
    <n v="550"/>
    <n v="300"/>
    <n v="0.35294117647058826"/>
    <x v="2"/>
  </r>
  <r>
    <x v="28"/>
    <n v="36"/>
    <x v="0"/>
    <x v="0"/>
    <x v="2"/>
    <x v="0"/>
    <x v="3"/>
    <x v="35"/>
    <n v="2"/>
    <n v="500"/>
    <n v="800"/>
    <n v="1600"/>
    <n v="1000"/>
    <n v="600"/>
    <n v="0.375"/>
    <x v="2"/>
  </r>
  <r>
    <x v="28"/>
    <n v="36"/>
    <x v="0"/>
    <x v="3"/>
    <x v="8"/>
    <x v="0"/>
    <x v="3"/>
    <x v="33"/>
    <n v="1"/>
    <n v="500"/>
    <n v="800"/>
    <n v="800"/>
    <n v="500"/>
    <n v="300"/>
    <n v="0.375"/>
    <x v="2"/>
  </r>
  <r>
    <x v="71"/>
    <n v="36"/>
    <x v="1"/>
    <x v="3"/>
    <x v="8"/>
    <x v="0"/>
    <x v="0"/>
    <x v="14"/>
    <n v="1"/>
    <n v="580"/>
    <n v="920"/>
    <n v="920"/>
    <n v="580"/>
    <n v="340"/>
    <n v="0.36956521739130432"/>
    <x v="2"/>
  </r>
  <r>
    <x v="29"/>
    <n v="36"/>
    <x v="0"/>
    <x v="4"/>
    <x v="11"/>
    <x v="0"/>
    <x v="0"/>
    <x v="22"/>
    <n v="3"/>
    <n v="700"/>
    <n v="1100"/>
    <n v="3300"/>
    <n v="2100"/>
    <n v="1200"/>
    <n v="0.36363636363636365"/>
    <x v="2"/>
  </r>
  <r>
    <x v="51"/>
    <n v="36"/>
    <x v="0"/>
    <x v="0"/>
    <x v="2"/>
    <x v="0"/>
    <x v="3"/>
    <x v="35"/>
    <n v="1"/>
    <n v="500"/>
    <n v="800"/>
    <n v="800"/>
    <n v="500"/>
    <n v="300"/>
    <n v="0.375"/>
    <x v="2"/>
  </r>
  <r>
    <x v="64"/>
    <n v="36"/>
    <x v="1"/>
    <x v="0"/>
    <x v="1"/>
    <x v="1"/>
    <x v="2"/>
    <x v="40"/>
    <n v="3"/>
    <n v="550"/>
    <n v="850"/>
    <n v="2550"/>
    <n v="1650"/>
    <n v="900"/>
    <n v="0.35294117647058826"/>
    <x v="2"/>
  </r>
  <r>
    <x v="52"/>
    <n v="37"/>
    <x v="0"/>
    <x v="0"/>
    <x v="1"/>
    <x v="0"/>
    <x v="3"/>
    <x v="29"/>
    <n v="4"/>
    <n v="530"/>
    <n v="840"/>
    <n v="3360"/>
    <n v="2120"/>
    <n v="1240"/>
    <n v="0.36904761904761907"/>
    <x v="2"/>
  </r>
  <r>
    <x v="89"/>
    <n v="37"/>
    <x v="1"/>
    <x v="0"/>
    <x v="1"/>
    <x v="0"/>
    <x v="3"/>
    <x v="36"/>
    <n v="1"/>
    <n v="500"/>
    <n v="800"/>
    <n v="800"/>
    <n v="500"/>
    <n v="300"/>
    <n v="0.375"/>
    <x v="2"/>
  </r>
  <r>
    <x v="65"/>
    <n v="37"/>
    <x v="1"/>
    <x v="0"/>
    <x v="10"/>
    <x v="0"/>
    <x v="3"/>
    <x v="37"/>
    <n v="4"/>
    <n v="530"/>
    <n v="840"/>
    <n v="3360"/>
    <n v="2120"/>
    <n v="1240"/>
    <n v="0.36904761904761907"/>
    <x v="2"/>
  </r>
  <r>
    <x v="65"/>
    <n v="37"/>
    <x v="1"/>
    <x v="0"/>
    <x v="1"/>
    <x v="0"/>
    <x v="3"/>
    <x v="36"/>
    <n v="3"/>
    <n v="500"/>
    <n v="800"/>
    <n v="2400"/>
    <n v="1500"/>
    <n v="900"/>
    <n v="0.375"/>
    <x v="2"/>
  </r>
  <r>
    <x v="66"/>
    <n v="37"/>
    <x v="0"/>
    <x v="0"/>
    <x v="0"/>
    <x v="0"/>
    <x v="3"/>
    <x v="33"/>
    <n v="4"/>
    <n v="500"/>
    <n v="800"/>
    <n v="3200"/>
    <n v="2000"/>
    <n v="1200"/>
    <n v="0.375"/>
    <x v="2"/>
  </r>
  <r>
    <x v="66"/>
    <n v="37"/>
    <x v="0"/>
    <x v="5"/>
    <x v="16"/>
    <x v="1"/>
    <x v="2"/>
    <x v="58"/>
    <n v="3"/>
    <n v="480"/>
    <n v="760"/>
    <n v="2280"/>
    <n v="1440"/>
    <n v="840"/>
    <n v="0.36842105263157893"/>
    <x v="2"/>
  </r>
  <r>
    <x v="81"/>
    <n v="37"/>
    <x v="1"/>
    <x v="0"/>
    <x v="1"/>
    <x v="0"/>
    <x v="3"/>
    <x v="36"/>
    <n v="4"/>
    <n v="500"/>
    <n v="800"/>
    <n v="3200"/>
    <n v="2000"/>
    <n v="1200"/>
    <n v="0.375"/>
    <x v="2"/>
  </r>
  <r>
    <x v="60"/>
    <n v="37"/>
    <x v="0"/>
    <x v="5"/>
    <x v="16"/>
    <x v="0"/>
    <x v="3"/>
    <x v="37"/>
    <n v="1"/>
    <n v="530"/>
    <n v="840"/>
    <n v="840"/>
    <n v="530"/>
    <n v="310"/>
    <n v="0.36904761904761907"/>
    <x v="2"/>
  </r>
  <r>
    <x v="44"/>
    <n v="37"/>
    <x v="1"/>
    <x v="4"/>
    <x v="11"/>
    <x v="0"/>
    <x v="1"/>
    <x v="59"/>
    <n v="1"/>
    <n v="500"/>
    <n v="950"/>
    <n v="950"/>
    <n v="500"/>
    <n v="450"/>
    <n v="0.47368421052631576"/>
    <x v="2"/>
  </r>
  <r>
    <x v="45"/>
    <n v="37"/>
    <x v="1"/>
    <x v="2"/>
    <x v="9"/>
    <x v="0"/>
    <x v="3"/>
    <x v="17"/>
    <n v="1"/>
    <n v="500"/>
    <n v="800"/>
    <n v="800"/>
    <n v="500"/>
    <n v="300"/>
    <n v="0.375"/>
    <x v="2"/>
  </r>
  <r>
    <x v="0"/>
    <n v="37"/>
    <x v="0"/>
    <x v="2"/>
    <x v="7"/>
    <x v="0"/>
    <x v="1"/>
    <x v="1"/>
    <n v="1"/>
    <n v="620"/>
    <n v="980"/>
    <n v="980"/>
    <n v="620"/>
    <n v="360"/>
    <n v="0.36734693877551022"/>
    <x v="2"/>
  </r>
  <r>
    <x v="40"/>
    <n v="37"/>
    <x v="1"/>
    <x v="2"/>
    <x v="5"/>
    <x v="0"/>
    <x v="3"/>
    <x v="38"/>
    <n v="2"/>
    <n v="530"/>
    <n v="840"/>
    <n v="1680"/>
    <n v="1060"/>
    <n v="620"/>
    <n v="0.36904761904761907"/>
    <x v="2"/>
  </r>
  <r>
    <x v="83"/>
    <n v="37"/>
    <x v="0"/>
    <x v="2"/>
    <x v="7"/>
    <x v="1"/>
    <x v="2"/>
    <x v="31"/>
    <n v="2"/>
    <n v="450"/>
    <n v="720"/>
    <n v="1440"/>
    <n v="900"/>
    <n v="540"/>
    <n v="0.375"/>
    <x v="2"/>
  </r>
  <r>
    <x v="57"/>
    <n v="37"/>
    <x v="1"/>
    <x v="2"/>
    <x v="7"/>
    <x v="1"/>
    <x v="0"/>
    <x v="15"/>
    <n v="2"/>
    <n v="550"/>
    <n v="850"/>
    <n v="1700"/>
    <n v="1100"/>
    <n v="600"/>
    <n v="0.35294117647058826"/>
    <x v="2"/>
  </r>
  <r>
    <x v="57"/>
    <n v="37"/>
    <x v="0"/>
    <x v="2"/>
    <x v="5"/>
    <x v="1"/>
    <x v="0"/>
    <x v="15"/>
    <n v="1"/>
    <n v="550"/>
    <n v="850"/>
    <n v="850"/>
    <n v="550"/>
    <n v="300"/>
    <n v="0.35294117647058826"/>
    <x v="2"/>
  </r>
  <r>
    <x v="77"/>
    <n v="37"/>
    <x v="1"/>
    <x v="2"/>
    <x v="7"/>
    <x v="1"/>
    <x v="0"/>
    <x v="15"/>
    <n v="1"/>
    <n v="550"/>
    <n v="850"/>
    <n v="850"/>
    <n v="550"/>
    <n v="300"/>
    <n v="0.35294117647058826"/>
    <x v="2"/>
  </r>
  <r>
    <x v="25"/>
    <n v="37"/>
    <x v="1"/>
    <x v="0"/>
    <x v="10"/>
    <x v="0"/>
    <x v="3"/>
    <x v="37"/>
    <n v="4"/>
    <n v="530"/>
    <n v="840"/>
    <n v="3360"/>
    <n v="2120"/>
    <n v="1240"/>
    <n v="0.36904761904761907"/>
    <x v="2"/>
  </r>
  <r>
    <x v="15"/>
    <n v="37"/>
    <x v="0"/>
    <x v="2"/>
    <x v="7"/>
    <x v="1"/>
    <x v="2"/>
    <x v="31"/>
    <n v="1"/>
    <n v="450"/>
    <n v="720"/>
    <n v="720"/>
    <n v="450"/>
    <n v="270"/>
    <n v="0.375"/>
    <x v="2"/>
  </r>
  <r>
    <x v="16"/>
    <n v="37"/>
    <x v="0"/>
    <x v="2"/>
    <x v="7"/>
    <x v="1"/>
    <x v="2"/>
    <x v="31"/>
    <n v="4"/>
    <n v="450"/>
    <n v="720"/>
    <n v="2880"/>
    <n v="1800"/>
    <n v="1080"/>
    <n v="0.375"/>
    <x v="2"/>
  </r>
  <r>
    <x v="16"/>
    <n v="37"/>
    <x v="0"/>
    <x v="1"/>
    <x v="15"/>
    <x v="0"/>
    <x v="1"/>
    <x v="43"/>
    <n v="1"/>
    <n v="900"/>
    <n v="1400"/>
    <n v="1400"/>
    <n v="900"/>
    <n v="500"/>
    <n v="0.35714285714285715"/>
    <x v="2"/>
  </r>
  <r>
    <x v="78"/>
    <n v="37"/>
    <x v="0"/>
    <x v="0"/>
    <x v="1"/>
    <x v="0"/>
    <x v="3"/>
    <x v="29"/>
    <n v="1"/>
    <n v="530"/>
    <n v="840"/>
    <n v="840"/>
    <n v="530"/>
    <n v="310"/>
    <n v="0.36904761904761907"/>
    <x v="2"/>
  </r>
  <r>
    <x v="88"/>
    <n v="37"/>
    <x v="0"/>
    <x v="3"/>
    <x v="13"/>
    <x v="0"/>
    <x v="3"/>
    <x v="36"/>
    <n v="1"/>
    <n v="500"/>
    <n v="800"/>
    <n v="800"/>
    <n v="500"/>
    <n v="300"/>
    <n v="0.375"/>
    <x v="2"/>
  </r>
  <r>
    <x v="18"/>
    <n v="37"/>
    <x v="1"/>
    <x v="2"/>
    <x v="5"/>
    <x v="1"/>
    <x v="2"/>
    <x v="20"/>
    <n v="2"/>
    <n v="550"/>
    <n v="850"/>
    <n v="1700"/>
    <n v="1100"/>
    <n v="600"/>
    <n v="0.35294117647058826"/>
    <x v="2"/>
  </r>
  <r>
    <x v="9"/>
    <n v="37"/>
    <x v="0"/>
    <x v="2"/>
    <x v="9"/>
    <x v="1"/>
    <x v="0"/>
    <x v="25"/>
    <n v="4"/>
    <n v="550"/>
    <n v="850"/>
    <n v="3400"/>
    <n v="2200"/>
    <n v="1200"/>
    <n v="0.35294117647058826"/>
    <x v="2"/>
  </r>
  <r>
    <x v="27"/>
    <n v="37"/>
    <x v="1"/>
    <x v="1"/>
    <x v="17"/>
    <x v="0"/>
    <x v="1"/>
    <x v="16"/>
    <n v="1"/>
    <n v="900"/>
    <n v="1400"/>
    <n v="1400"/>
    <n v="900"/>
    <n v="500"/>
    <n v="0.35714285714285715"/>
    <x v="2"/>
  </r>
  <r>
    <x v="28"/>
    <n v="37"/>
    <x v="1"/>
    <x v="0"/>
    <x v="0"/>
    <x v="1"/>
    <x v="2"/>
    <x v="20"/>
    <n v="1"/>
    <n v="550"/>
    <n v="850"/>
    <n v="850"/>
    <n v="550"/>
    <n v="300"/>
    <n v="0.35294117647058826"/>
    <x v="2"/>
  </r>
  <r>
    <x v="63"/>
    <n v="37"/>
    <x v="1"/>
    <x v="3"/>
    <x v="12"/>
    <x v="1"/>
    <x v="2"/>
    <x v="20"/>
    <n v="3"/>
    <n v="550"/>
    <n v="850"/>
    <n v="2550"/>
    <n v="1650"/>
    <n v="900"/>
    <n v="0.35294117647058826"/>
    <x v="2"/>
  </r>
  <r>
    <x v="71"/>
    <n v="37"/>
    <x v="0"/>
    <x v="4"/>
    <x v="11"/>
    <x v="0"/>
    <x v="0"/>
    <x v="22"/>
    <n v="2"/>
    <n v="700"/>
    <n v="1100"/>
    <n v="2200"/>
    <n v="1400"/>
    <n v="800"/>
    <n v="0.36363636363636365"/>
    <x v="2"/>
  </r>
  <r>
    <x v="80"/>
    <n v="38"/>
    <x v="1"/>
    <x v="5"/>
    <x v="16"/>
    <x v="0"/>
    <x v="1"/>
    <x v="27"/>
    <n v="1"/>
    <n v="580"/>
    <n v="920"/>
    <n v="920"/>
    <n v="580"/>
    <n v="340"/>
    <n v="0.36956521739130432"/>
    <x v="2"/>
  </r>
  <r>
    <x v="84"/>
    <n v="38"/>
    <x v="1"/>
    <x v="0"/>
    <x v="0"/>
    <x v="0"/>
    <x v="1"/>
    <x v="8"/>
    <n v="1"/>
    <n v="580"/>
    <n v="920"/>
    <n v="920"/>
    <n v="580"/>
    <n v="340"/>
    <n v="0.36956521739130432"/>
    <x v="2"/>
  </r>
  <r>
    <x v="34"/>
    <n v="38"/>
    <x v="0"/>
    <x v="5"/>
    <x v="16"/>
    <x v="1"/>
    <x v="2"/>
    <x v="40"/>
    <n v="1"/>
    <n v="550"/>
    <n v="850"/>
    <n v="850"/>
    <n v="550"/>
    <n v="300"/>
    <n v="0.35294117647058826"/>
    <x v="2"/>
  </r>
  <r>
    <x v="34"/>
    <n v="38"/>
    <x v="0"/>
    <x v="5"/>
    <x v="16"/>
    <x v="0"/>
    <x v="0"/>
    <x v="10"/>
    <n v="1"/>
    <n v="580"/>
    <n v="920"/>
    <n v="920"/>
    <n v="580"/>
    <n v="340"/>
    <n v="0.36956521739130432"/>
    <x v="2"/>
  </r>
  <r>
    <x v="90"/>
    <n v="38"/>
    <x v="0"/>
    <x v="5"/>
    <x v="16"/>
    <x v="0"/>
    <x v="0"/>
    <x v="10"/>
    <n v="3"/>
    <n v="580"/>
    <n v="920"/>
    <n v="2760"/>
    <n v="1740"/>
    <n v="1020"/>
    <n v="0.36956521739130432"/>
    <x v="2"/>
  </r>
  <r>
    <x v="10"/>
    <n v="38"/>
    <x v="0"/>
    <x v="5"/>
    <x v="16"/>
    <x v="1"/>
    <x v="2"/>
    <x v="40"/>
    <n v="1"/>
    <n v="550"/>
    <n v="850"/>
    <n v="850"/>
    <n v="550"/>
    <n v="300"/>
    <n v="0.35294117647058826"/>
    <x v="2"/>
  </r>
  <r>
    <x v="82"/>
    <n v="38"/>
    <x v="1"/>
    <x v="5"/>
    <x v="16"/>
    <x v="0"/>
    <x v="1"/>
    <x v="27"/>
    <n v="1"/>
    <n v="580"/>
    <n v="920"/>
    <n v="920"/>
    <n v="580"/>
    <n v="340"/>
    <n v="0.36956521739130432"/>
    <x v="2"/>
  </r>
  <r>
    <x v="43"/>
    <n v="38"/>
    <x v="1"/>
    <x v="5"/>
    <x v="16"/>
    <x v="0"/>
    <x v="1"/>
    <x v="4"/>
    <n v="1"/>
    <n v="900"/>
    <n v="1400"/>
    <n v="1400"/>
    <n v="900"/>
    <n v="500"/>
    <n v="0.35714285714285715"/>
    <x v="2"/>
  </r>
  <r>
    <x v="13"/>
    <n v="38"/>
    <x v="1"/>
    <x v="0"/>
    <x v="2"/>
    <x v="1"/>
    <x v="0"/>
    <x v="25"/>
    <n v="2"/>
    <n v="550"/>
    <n v="850"/>
    <n v="1700"/>
    <n v="1100"/>
    <n v="600"/>
    <n v="0.35294117647058826"/>
    <x v="2"/>
  </r>
  <r>
    <x v="56"/>
    <n v="38"/>
    <x v="0"/>
    <x v="1"/>
    <x v="15"/>
    <x v="0"/>
    <x v="3"/>
    <x v="29"/>
    <n v="1"/>
    <n v="530"/>
    <n v="840"/>
    <n v="840"/>
    <n v="530"/>
    <n v="310"/>
    <n v="0.36904761904761907"/>
    <x v="2"/>
  </r>
  <r>
    <x v="25"/>
    <n v="38"/>
    <x v="0"/>
    <x v="2"/>
    <x v="7"/>
    <x v="1"/>
    <x v="2"/>
    <x v="40"/>
    <n v="2"/>
    <n v="550"/>
    <n v="850"/>
    <n v="1700"/>
    <n v="1100"/>
    <n v="600"/>
    <n v="0.35294117647058826"/>
    <x v="2"/>
  </r>
  <r>
    <x v="48"/>
    <n v="38"/>
    <x v="0"/>
    <x v="0"/>
    <x v="1"/>
    <x v="1"/>
    <x v="0"/>
    <x v="25"/>
    <n v="1"/>
    <n v="550"/>
    <n v="850"/>
    <n v="850"/>
    <n v="550"/>
    <n v="300"/>
    <n v="0.35294117647058826"/>
    <x v="2"/>
  </r>
  <r>
    <x v="15"/>
    <n v="38"/>
    <x v="1"/>
    <x v="2"/>
    <x v="7"/>
    <x v="1"/>
    <x v="2"/>
    <x v="20"/>
    <n v="1"/>
    <n v="550"/>
    <n v="850"/>
    <n v="850"/>
    <n v="550"/>
    <n v="300"/>
    <n v="0.35294117647058826"/>
    <x v="2"/>
  </r>
  <r>
    <x v="16"/>
    <n v="38"/>
    <x v="1"/>
    <x v="2"/>
    <x v="5"/>
    <x v="1"/>
    <x v="2"/>
    <x v="40"/>
    <n v="1"/>
    <n v="550"/>
    <n v="850"/>
    <n v="850"/>
    <n v="550"/>
    <n v="300"/>
    <n v="0.35294117647058826"/>
    <x v="2"/>
  </r>
  <r>
    <x v="17"/>
    <n v="38"/>
    <x v="0"/>
    <x v="0"/>
    <x v="1"/>
    <x v="1"/>
    <x v="0"/>
    <x v="25"/>
    <n v="2"/>
    <n v="550"/>
    <n v="850"/>
    <n v="1700"/>
    <n v="1100"/>
    <n v="600"/>
    <n v="0.35294117647058826"/>
    <x v="2"/>
  </r>
  <r>
    <x v="58"/>
    <n v="38"/>
    <x v="1"/>
    <x v="3"/>
    <x v="12"/>
    <x v="1"/>
    <x v="2"/>
    <x v="3"/>
    <n v="4"/>
    <n v="550"/>
    <n v="850"/>
    <n v="3400"/>
    <n v="2200"/>
    <n v="1200"/>
    <n v="0.35294117647058826"/>
    <x v="2"/>
  </r>
  <r>
    <x v="9"/>
    <n v="38"/>
    <x v="0"/>
    <x v="0"/>
    <x v="1"/>
    <x v="0"/>
    <x v="3"/>
    <x v="17"/>
    <n v="1"/>
    <n v="500"/>
    <n v="800"/>
    <n v="800"/>
    <n v="500"/>
    <n v="300"/>
    <n v="0.375"/>
    <x v="2"/>
  </r>
  <r>
    <x v="28"/>
    <n v="38"/>
    <x v="0"/>
    <x v="0"/>
    <x v="2"/>
    <x v="1"/>
    <x v="0"/>
    <x v="41"/>
    <n v="4"/>
    <n v="550"/>
    <n v="850"/>
    <n v="3400"/>
    <n v="2200"/>
    <n v="1200"/>
    <n v="0.35294117647058826"/>
    <x v="2"/>
  </r>
  <r>
    <x v="63"/>
    <n v="38"/>
    <x v="1"/>
    <x v="0"/>
    <x v="0"/>
    <x v="1"/>
    <x v="2"/>
    <x v="20"/>
    <n v="2"/>
    <n v="550"/>
    <n v="850"/>
    <n v="1700"/>
    <n v="1100"/>
    <n v="600"/>
    <n v="0.35294117647058826"/>
    <x v="2"/>
  </r>
  <r>
    <x v="59"/>
    <n v="38"/>
    <x v="1"/>
    <x v="0"/>
    <x v="2"/>
    <x v="1"/>
    <x v="0"/>
    <x v="25"/>
    <n v="3"/>
    <n v="550"/>
    <n v="850"/>
    <n v="2550"/>
    <n v="1650"/>
    <n v="900"/>
    <n v="0.35294117647058826"/>
    <x v="2"/>
  </r>
  <r>
    <x v="71"/>
    <n v="38"/>
    <x v="0"/>
    <x v="0"/>
    <x v="0"/>
    <x v="1"/>
    <x v="2"/>
    <x v="40"/>
    <n v="1"/>
    <n v="550"/>
    <n v="850"/>
    <n v="850"/>
    <n v="550"/>
    <n v="300"/>
    <n v="0.35294117647058826"/>
    <x v="2"/>
  </r>
  <r>
    <x v="66"/>
    <n v="39"/>
    <x v="1"/>
    <x v="0"/>
    <x v="2"/>
    <x v="0"/>
    <x v="3"/>
    <x v="23"/>
    <n v="1"/>
    <n v="530"/>
    <n v="840"/>
    <n v="840"/>
    <n v="530"/>
    <n v="310"/>
    <n v="0.36904761904761907"/>
    <x v="2"/>
  </r>
  <r>
    <x v="69"/>
    <n v="39"/>
    <x v="0"/>
    <x v="5"/>
    <x v="16"/>
    <x v="0"/>
    <x v="1"/>
    <x v="43"/>
    <n v="2"/>
    <n v="900"/>
    <n v="1400"/>
    <n v="2800"/>
    <n v="1800"/>
    <n v="1000"/>
    <n v="0.35714285714285715"/>
    <x v="2"/>
  </r>
  <r>
    <x v="20"/>
    <n v="39"/>
    <x v="1"/>
    <x v="0"/>
    <x v="0"/>
    <x v="0"/>
    <x v="1"/>
    <x v="4"/>
    <n v="1"/>
    <n v="900"/>
    <n v="1400"/>
    <n v="1400"/>
    <n v="900"/>
    <n v="500"/>
    <n v="0.35714285714285715"/>
    <x v="2"/>
  </r>
  <r>
    <x v="37"/>
    <n v="39"/>
    <x v="1"/>
    <x v="5"/>
    <x v="16"/>
    <x v="0"/>
    <x v="0"/>
    <x v="0"/>
    <n v="1"/>
    <n v="700"/>
    <n v="1100"/>
    <n v="1100"/>
    <n v="700"/>
    <n v="400"/>
    <n v="0.36363636363636365"/>
    <x v="2"/>
  </r>
  <r>
    <x v="2"/>
    <n v="39"/>
    <x v="0"/>
    <x v="0"/>
    <x v="0"/>
    <x v="1"/>
    <x v="2"/>
    <x v="51"/>
    <n v="1"/>
    <n v="450"/>
    <n v="720"/>
    <n v="720"/>
    <n v="450"/>
    <n v="270"/>
    <n v="0.375"/>
    <x v="2"/>
  </r>
  <r>
    <x v="30"/>
    <n v="39"/>
    <x v="1"/>
    <x v="5"/>
    <x v="16"/>
    <x v="0"/>
    <x v="0"/>
    <x v="0"/>
    <n v="3"/>
    <n v="700"/>
    <n v="1100"/>
    <n v="3300"/>
    <n v="2100"/>
    <n v="1200"/>
    <n v="0.36363636363636365"/>
    <x v="2"/>
  </r>
  <r>
    <x v="3"/>
    <n v="39"/>
    <x v="0"/>
    <x v="1"/>
    <x v="15"/>
    <x v="0"/>
    <x v="3"/>
    <x v="11"/>
    <n v="3"/>
    <n v="500"/>
    <n v="800"/>
    <n v="2400"/>
    <n v="1500"/>
    <n v="900"/>
    <n v="0.375"/>
    <x v="2"/>
  </r>
  <r>
    <x v="3"/>
    <n v="39"/>
    <x v="0"/>
    <x v="5"/>
    <x v="16"/>
    <x v="0"/>
    <x v="1"/>
    <x v="43"/>
    <n v="1"/>
    <n v="900"/>
    <n v="1400"/>
    <n v="1400"/>
    <n v="900"/>
    <n v="500"/>
    <n v="0.35714285714285715"/>
    <x v="2"/>
  </r>
  <r>
    <x v="39"/>
    <n v="39"/>
    <x v="1"/>
    <x v="5"/>
    <x v="16"/>
    <x v="0"/>
    <x v="0"/>
    <x v="0"/>
    <n v="1"/>
    <n v="700"/>
    <n v="1100"/>
    <n v="1100"/>
    <n v="700"/>
    <n v="400"/>
    <n v="0.36363636363636365"/>
    <x v="2"/>
  </r>
  <r>
    <x v="13"/>
    <n v="39"/>
    <x v="1"/>
    <x v="3"/>
    <x v="13"/>
    <x v="1"/>
    <x v="2"/>
    <x v="20"/>
    <n v="1"/>
    <n v="550"/>
    <n v="850"/>
    <n v="850"/>
    <n v="550"/>
    <n v="300"/>
    <n v="0.35294117647058826"/>
    <x v="2"/>
  </r>
  <r>
    <x v="40"/>
    <n v="39"/>
    <x v="1"/>
    <x v="0"/>
    <x v="0"/>
    <x v="0"/>
    <x v="1"/>
    <x v="4"/>
    <n v="1"/>
    <n v="900"/>
    <n v="1400"/>
    <n v="1400"/>
    <n v="900"/>
    <n v="500"/>
    <n v="0.35714285714285715"/>
    <x v="2"/>
  </r>
  <r>
    <x v="56"/>
    <n v="39"/>
    <x v="1"/>
    <x v="1"/>
    <x v="4"/>
    <x v="0"/>
    <x v="3"/>
    <x v="37"/>
    <n v="3"/>
    <n v="530"/>
    <n v="840"/>
    <n v="2520"/>
    <n v="1590"/>
    <n v="930"/>
    <n v="0.36904761904761907"/>
    <x v="2"/>
  </r>
  <r>
    <x v="33"/>
    <n v="39"/>
    <x v="1"/>
    <x v="2"/>
    <x v="7"/>
    <x v="1"/>
    <x v="0"/>
    <x v="15"/>
    <n v="4"/>
    <n v="550"/>
    <n v="850"/>
    <n v="3400"/>
    <n v="2200"/>
    <n v="1200"/>
    <n v="0.35294117647058826"/>
    <x v="2"/>
  </r>
  <r>
    <x v="83"/>
    <n v="39"/>
    <x v="1"/>
    <x v="5"/>
    <x v="16"/>
    <x v="0"/>
    <x v="0"/>
    <x v="0"/>
    <n v="4"/>
    <n v="700"/>
    <n v="1100"/>
    <n v="4400"/>
    <n v="2800"/>
    <n v="1600"/>
    <n v="0.36363636363636365"/>
    <x v="2"/>
  </r>
  <r>
    <x v="77"/>
    <n v="39"/>
    <x v="1"/>
    <x v="2"/>
    <x v="7"/>
    <x v="1"/>
    <x v="0"/>
    <x v="15"/>
    <n v="4"/>
    <n v="550"/>
    <n v="850"/>
    <n v="3400"/>
    <n v="2200"/>
    <n v="1200"/>
    <n v="0.35294117647058826"/>
    <x v="2"/>
  </r>
  <r>
    <x v="26"/>
    <n v="39"/>
    <x v="1"/>
    <x v="2"/>
    <x v="9"/>
    <x v="1"/>
    <x v="0"/>
    <x v="41"/>
    <n v="2"/>
    <n v="550"/>
    <n v="850"/>
    <n v="1700"/>
    <n v="1100"/>
    <n v="600"/>
    <n v="0.35294117647058826"/>
    <x v="2"/>
  </r>
  <r>
    <x v="58"/>
    <n v="39"/>
    <x v="0"/>
    <x v="2"/>
    <x v="7"/>
    <x v="1"/>
    <x v="0"/>
    <x v="41"/>
    <n v="3"/>
    <n v="550"/>
    <n v="850"/>
    <n v="2550"/>
    <n v="1650"/>
    <n v="900"/>
    <n v="0.35294117647058826"/>
    <x v="2"/>
  </r>
  <r>
    <x v="9"/>
    <n v="39"/>
    <x v="1"/>
    <x v="2"/>
    <x v="7"/>
    <x v="1"/>
    <x v="0"/>
    <x v="15"/>
    <n v="4"/>
    <n v="550"/>
    <n v="850"/>
    <n v="3400"/>
    <n v="2200"/>
    <n v="1200"/>
    <n v="0.35294117647058826"/>
    <x v="2"/>
  </r>
  <r>
    <x v="9"/>
    <n v="39"/>
    <x v="1"/>
    <x v="2"/>
    <x v="5"/>
    <x v="1"/>
    <x v="2"/>
    <x v="20"/>
    <n v="1"/>
    <n v="550"/>
    <n v="850"/>
    <n v="850"/>
    <n v="550"/>
    <n v="300"/>
    <n v="0.35294117647058826"/>
    <x v="2"/>
  </r>
  <r>
    <x v="29"/>
    <n v="39"/>
    <x v="1"/>
    <x v="2"/>
    <x v="7"/>
    <x v="1"/>
    <x v="0"/>
    <x v="15"/>
    <n v="1"/>
    <n v="550"/>
    <n v="850"/>
    <n v="850"/>
    <n v="550"/>
    <n v="300"/>
    <n v="0.35294117647058826"/>
    <x v="2"/>
  </r>
  <r>
    <x v="72"/>
    <n v="40"/>
    <x v="1"/>
    <x v="0"/>
    <x v="2"/>
    <x v="0"/>
    <x v="3"/>
    <x v="37"/>
    <n v="2"/>
    <n v="530"/>
    <n v="840"/>
    <n v="1680"/>
    <n v="1060"/>
    <n v="620"/>
    <n v="0.36904761904761907"/>
    <x v="2"/>
  </r>
  <r>
    <x v="85"/>
    <n v="40"/>
    <x v="0"/>
    <x v="3"/>
    <x v="12"/>
    <x v="0"/>
    <x v="1"/>
    <x v="8"/>
    <n v="1"/>
    <n v="580"/>
    <n v="920"/>
    <n v="920"/>
    <n v="580"/>
    <n v="340"/>
    <n v="0.36956521739130432"/>
    <x v="2"/>
  </r>
  <r>
    <x v="10"/>
    <n v="40"/>
    <x v="0"/>
    <x v="0"/>
    <x v="2"/>
    <x v="0"/>
    <x v="0"/>
    <x v="24"/>
    <n v="4"/>
    <n v="580"/>
    <n v="920"/>
    <n v="3680"/>
    <n v="2320"/>
    <n v="1360"/>
    <n v="0.36956521739130432"/>
    <x v="2"/>
  </r>
  <r>
    <x v="10"/>
    <n v="40"/>
    <x v="1"/>
    <x v="0"/>
    <x v="1"/>
    <x v="0"/>
    <x v="0"/>
    <x v="10"/>
    <n v="3"/>
    <n v="580"/>
    <n v="920"/>
    <n v="2760"/>
    <n v="1740"/>
    <n v="1020"/>
    <n v="0.36956521739130432"/>
    <x v="2"/>
  </r>
  <r>
    <x v="45"/>
    <n v="40"/>
    <x v="0"/>
    <x v="0"/>
    <x v="0"/>
    <x v="1"/>
    <x v="0"/>
    <x v="41"/>
    <n v="3"/>
    <n v="550"/>
    <n v="850"/>
    <n v="2550"/>
    <n v="1650"/>
    <n v="900"/>
    <n v="0.35294117647058826"/>
    <x v="2"/>
  </r>
  <r>
    <x v="76"/>
    <n v="40"/>
    <x v="1"/>
    <x v="3"/>
    <x v="14"/>
    <x v="0"/>
    <x v="1"/>
    <x v="52"/>
    <n v="1"/>
    <n v="620"/>
    <n v="980"/>
    <n v="980"/>
    <n v="620"/>
    <n v="360"/>
    <n v="0.36734693877551022"/>
    <x v="2"/>
  </r>
  <r>
    <x v="21"/>
    <n v="40"/>
    <x v="1"/>
    <x v="0"/>
    <x v="10"/>
    <x v="1"/>
    <x v="2"/>
    <x v="40"/>
    <n v="2"/>
    <n v="550"/>
    <n v="850"/>
    <n v="1700"/>
    <n v="1100"/>
    <n v="600"/>
    <n v="0.35294117647058826"/>
    <x v="2"/>
  </r>
  <r>
    <x v="21"/>
    <n v="40"/>
    <x v="1"/>
    <x v="0"/>
    <x v="1"/>
    <x v="0"/>
    <x v="0"/>
    <x v="10"/>
    <n v="1"/>
    <n v="580"/>
    <n v="920"/>
    <n v="920"/>
    <n v="580"/>
    <n v="340"/>
    <n v="0.36956521739130432"/>
    <x v="2"/>
  </r>
  <r>
    <x v="2"/>
    <n v="40"/>
    <x v="0"/>
    <x v="0"/>
    <x v="1"/>
    <x v="0"/>
    <x v="1"/>
    <x v="8"/>
    <n v="1"/>
    <n v="580"/>
    <n v="920"/>
    <n v="920"/>
    <n v="580"/>
    <n v="340"/>
    <n v="0.36956521739130432"/>
    <x v="2"/>
  </r>
  <r>
    <x v="23"/>
    <n v="40"/>
    <x v="0"/>
    <x v="5"/>
    <x v="16"/>
    <x v="0"/>
    <x v="0"/>
    <x v="22"/>
    <n v="1"/>
    <n v="700"/>
    <n v="1100"/>
    <n v="1100"/>
    <n v="700"/>
    <n v="400"/>
    <n v="0.36363636363636365"/>
    <x v="2"/>
  </r>
  <r>
    <x v="31"/>
    <n v="40"/>
    <x v="1"/>
    <x v="3"/>
    <x v="14"/>
    <x v="1"/>
    <x v="0"/>
    <x v="25"/>
    <n v="3"/>
    <n v="550"/>
    <n v="850"/>
    <n v="2550"/>
    <n v="1650"/>
    <n v="900"/>
    <n v="0.35294117647058826"/>
    <x v="2"/>
  </r>
  <r>
    <x v="13"/>
    <n v="40"/>
    <x v="1"/>
    <x v="3"/>
    <x v="6"/>
    <x v="1"/>
    <x v="2"/>
    <x v="40"/>
    <n v="4"/>
    <n v="550"/>
    <n v="850"/>
    <n v="3400"/>
    <n v="2200"/>
    <n v="1200"/>
    <n v="0.35294117647058826"/>
    <x v="2"/>
  </r>
  <r>
    <x v="13"/>
    <n v="40"/>
    <x v="1"/>
    <x v="0"/>
    <x v="2"/>
    <x v="0"/>
    <x v="3"/>
    <x v="37"/>
    <n v="4"/>
    <n v="530"/>
    <n v="840"/>
    <n v="3360"/>
    <n v="2120"/>
    <n v="1240"/>
    <n v="0.36904761904761907"/>
    <x v="2"/>
  </r>
  <r>
    <x v="32"/>
    <n v="40"/>
    <x v="1"/>
    <x v="0"/>
    <x v="2"/>
    <x v="1"/>
    <x v="0"/>
    <x v="25"/>
    <n v="2"/>
    <n v="550"/>
    <n v="850"/>
    <n v="1700"/>
    <n v="1100"/>
    <n v="600"/>
    <n v="0.35294117647058826"/>
    <x v="2"/>
  </r>
  <r>
    <x v="26"/>
    <n v="40"/>
    <x v="0"/>
    <x v="0"/>
    <x v="1"/>
    <x v="0"/>
    <x v="1"/>
    <x v="8"/>
    <n v="4"/>
    <n v="580"/>
    <n v="920"/>
    <n v="3680"/>
    <n v="2320"/>
    <n v="1360"/>
    <n v="0.36956521739130432"/>
    <x v="2"/>
  </r>
  <r>
    <x v="48"/>
    <n v="40"/>
    <x v="0"/>
    <x v="0"/>
    <x v="1"/>
    <x v="1"/>
    <x v="0"/>
    <x v="41"/>
    <n v="2"/>
    <n v="550"/>
    <n v="850"/>
    <n v="1700"/>
    <n v="1100"/>
    <n v="600"/>
    <n v="0.35294117647058826"/>
    <x v="2"/>
  </r>
  <r>
    <x v="78"/>
    <n v="40"/>
    <x v="1"/>
    <x v="2"/>
    <x v="7"/>
    <x v="1"/>
    <x v="2"/>
    <x v="58"/>
    <n v="1"/>
    <n v="480"/>
    <n v="760"/>
    <n v="760"/>
    <n v="480"/>
    <n v="280"/>
    <n v="0.36842105263157893"/>
    <x v="2"/>
  </r>
  <r>
    <x v="88"/>
    <n v="40"/>
    <x v="1"/>
    <x v="3"/>
    <x v="8"/>
    <x v="0"/>
    <x v="1"/>
    <x v="43"/>
    <n v="1"/>
    <n v="900"/>
    <n v="1400"/>
    <n v="1400"/>
    <n v="900"/>
    <n v="500"/>
    <n v="0.35714285714285715"/>
    <x v="2"/>
  </r>
  <r>
    <x v="18"/>
    <n v="40"/>
    <x v="1"/>
    <x v="2"/>
    <x v="7"/>
    <x v="0"/>
    <x v="0"/>
    <x v="14"/>
    <n v="1"/>
    <n v="580"/>
    <n v="920"/>
    <n v="920"/>
    <n v="580"/>
    <n v="340"/>
    <n v="0.36956521739130432"/>
    <x v="2"/>
  </r>
  <r>
    <x v="19"/>
    <n v="40"/>
    <x v="1"/>
    <x v="5"/>
    <x v="16"/>
    <x v="0"/>
    <x v="0"/>
    <x v="7"/>
    <n v="3"/>
    <n v="700"/>
    <n v="1100"/>
    <n v="3300"/>
    <n v="2100"/>
    <n v="1200"/>
    <n v="0.36363636363636365"/>
    <x v="2"/>
  </r>
  <r>
    <x v="28"/>
    <n v="40"/>
    <x v="1"/>
    <x v="3"/>
    <x v="8"/>
    <x v="1"/>
    <x v="0"/>
    <x v="15"/>
    <n v="1"/>
    <n v="550"/>
    <n v="850"/>
    <n v="850"/>
    <n v="550"/>
    <n v="300"/>
    <n v="0.35294117647058826"/>
    <x v="2"/>
  </r>
  <r>
    <x v="89"/>
    <n v="41"/>
    <x v="0"/>
    <x v="0"/>
    <x v="2"/>
    <x v="0"/>
    <x v="0"/>
    <x v="24"/>
    <n v="1"/>
    <n v="580"/>
    <n v="920"/>
    <n v="920"/>
    <n v="580"/>
    <n v="340"/>
    <n v="0.36956521739130432"/>
    <x v="2"/>
  </r>
  <r>
    <x v="35"/>
    <n v="41"/>
    <x v="1"/>
    <x v="0"/>
    <x v="1"/>
    <x v="1"/>
    <x v="2"/>
    <x v="49"/>
    <n v="4"/>
    <n v="450"/>
    <n v="720"/>
    <n v="2880"/>
    <n v="1800"/>
    <n v="1080"/>
    <n v="0.375"/>
    <x v="2"/>
  </r>
  <r>
    <x v="35"/>
    <n v="41"/>
    <x v="0"/>
    <x v="0"/>
    <x v="10"/>
    <x v="0"/>
    <x v="0"/>
    <x v="24"/>
    <n v="3"/>
    <n v="580"/>
    <n v="920"/>
    <n v="2760"/>
    <n v="1740"/>
    <n v="1020"/>
    <n v="0.36956521739130432"/>
    <x v="2"/>
  </r>
  <r>
    <x v="66"/>
    <n v="41"/>
    <x v="0"/>
    <x v="0"/>
    <x v="1"/>
    <x v="0"/>
    <x v="0"/>
    <x v="0"/>
    <n v="4"/>
    <n v="700"/>
    <n v="1100"/>
    <n v="4400"/>
    <n v="2800"/>
    <n v="1600"/>
    <n v="0.36363636363636365"/>
    <x v="2"/>
  </r>
  <r>
    <x v="66"/>
    <n v="41"/>
    <x v="0"/>
    <x v="3"/>
    <x v="6"/>
    <x v="0"/>
    <x v="0"/>
    <x v="48"/>
    <n v="2"/>
    <n v="620"/>
    <n v="980"/>
    <n v="1960"/>
    <n v="1240"/>
    <n v="720"/>
    <n v="0.36734693877551022"/>
    <x v="2"/>
  </r>
  <r>
    <x v="53"/>
    <n v="41"/>
    <x v="0"/>
    <x v="0"/>
    <x v="2"/>
    <x v="0"/>
    <x v="0"/>
    <x v="24"/>
    <n v="4"/>
    <n v="580"/>
    <n v="920"/>
    <n v="3680"/>
    <n v="2320"/>
    <n v="1360"/>
    <n v="0.36956521739130432"/>
    <x v="2"/>
  </r>
  <r>
    <x v="68"/>
    <n v="41"/>
    <x v="1"/>
    <x v="4"/>
    <x v="11"/>
    <x v="1"/>
    <x v="0"/>
    <x v="25"/>
    <n v="2"/>
    <n v="550"/>
    <n v="850"/>
    <n v="1700"/>
    <n v="1100"/>
    <n v="600"/>
    <n v="0.35294117647058826"/>
    <x v="2"/>
  </r>
  <r>
    <x v="68"/>
    <n v="41"/>
    <x v="0"/>
    <x v="0"/>
    <x v="0"/>
    <x v="0"/>
    <x v="1"/>
    <x v="8"/>
    <n v="1"/>
    <n v="580"/>
    <n v="920"/>
    <n v="920"/>
    <n v="580"/>
    <n v="340"/>
    <n v="0.36956521739130432"/>
    <x v="2"/>
  </r>
  <r>
    <x v="20"/>
    <n v="41"/>
    <x v="1"/>
    <x v="4"/>
    <x v="11"/>
    <x v="1"/>
    <x v="0"/>
    <x v="25"/>
    <n v="2"/>
    <n v="550"/>
    <n v="850"/>
    <n v="1700"/>
    <n v="1100"/>
    <n v="600"/>
    <n v="0.35294117647058826"/>
    <x v="2"/>
  </r>
  <r>
    <x v="20"/>
    <n v="41"/>
    <x v="0"/>
    <x v="0"/>
    <x v="1"/>
    <x v="1"/>
    <x v="2"/>
    <x v="3"/>
    <n v="2"/>
    <n v="550"/>
    <n v="850"/>
    <n v="1700"/>
    <n v="1100"/>
    <n v="600"/>
    <n v="0.35294117647058826"/>
    <x v="2"/>
  </r>
  <r>
    <x v="44"/>
    <n v="41"/>
    <x v="0"/>
    <x v="3"/>
    <x v="12"/>
    <x v="0"/>
    <x v="3"/>
    <x v="11"/>
    <n v="2"/>
    <n v="500"/>
    <n v="800"/>
    <n v="1600"/>
    <n v="1000"/>
    <n v="600"/>
    <n v="0.375"/>
    <x v="2"/>
  </r>
  <r>
    <x v="1"/>
    <n v="41"/>
    <x v="1"/>
    <x v="3"/>
    <x v="8"/>
    <x v="1"/>
    <x v="2"/>
    <x v="3"/>
    <n v="4"/>
    <n v="550"/>
    <n v="850"/>
    <n v="3400"/>
    <n v="2200"/>
    <n v="1200"/>
    <n v="0.35294117647058826"/>
    <x v="2"/>
  </r>
  <r>
    <x v="2"/>
    <n v="41"/>
    <x v="0"/>
    <x v="5"/>
    <x v="16"/>
    <x v="0"/>
    <x v="1"/>
    <x v="32"/>
    <n v="1"/>
    <n v="580"/>
    <n v="920"/>
    <n v="920"/>
    <n v="580"/>
    <n v="340"/>
    <n v="0.36956521739130432"/>
    <x v="2"/>
  </r>
  <r>
    <x v="61"/>
    <n v="41"/>
    <x v="1"/>
    <x v="3"/>
    <x v="14"/>
    <x v="1"/>
    <x v="2"/>
    <x v="40"/>
    <n v="3"/>
    <n v="550"/>
    <n v="850"/>
    <n v="2550"/>
    <n v="1650"/>
    <n v="900"/>
    <n v="0.35294117647058826"/>
    <x v="2"/>
  </r>
  <r>
    <x v="31"/>
    <n v="41"/>
    <x v="0"/>
    <x v="5"/>
    <x v="16"/>
    <x v="0"/>
    <x v="1"/>
    <x v="32"/>
    <n v="1"/>
    <n v="580"/>
    <n v="920"/>
    <n v="920"/>
    <n v="580"/>
    <n v="340"/>
    <n v="0.36956521739130432"/>
    <x v="2"/>
  </r>
  <r>
    <x v="38"/>
    <n v="41"/>
    <x v="0"/>
    <x v="2"/>
    <x v="5"/>
    <x v="0"/>
    <x v="1"/>
    <x v="16"/>
    <n v="1"/>
    <n v="900"/>
    <n v="1400"/>
    <n v="1400"/>
    <n v="900"/>
    <n v="500"/>
    <n v="0.35714285714285715"/>
    <x v="2"/>
  </r>
  <r>
    <x v="13"/>
    <n v="41"/>
    <x v="0"/>
    <x v="2"/>
    <x v="5"/>
    <x v="0"/>
    <x v="1"/>
    <x v="16"/>
    <n v="3"/>
    <n v="900"/>
    <n v="1400"/>
    <n v="4200"/>
    <n v="2700"/>
    <n v="1500"/>
    <n v="0.35714285714285715"/>
    <x v="2"/>
  </r>
  <r>
    <x v="6"/>
    <n v="41"/>
    <x v="1"/>
    <x v="3"/>
    <x v="12"/>
    <x v="1"/>
    <x v="2"/>
    <x v="3"/>
    <n v="1"/>
    <n v="550"/>
    <n v="850"/>
    <n v="850"/>
    <n v="550"/>
    <n v="300"/>
    <n v="0.35294117647058826"/>
    <x v="2"/>
  </r>
  <r>
    <x v="8"/>
    <n v="41"/>
    <x v="0"/>
    <x v="2"/>
    <x v="5"/>
    <x v="0"/>
    <x v="1"/>
    <x v="16"/>
    <n v="1"/>
    <n v="900"/>
    <n v="1400"/>
    <n v="1400"/>
    <n v="900"/>
    <n v="500"/>
    <n v="0.35714285714285715"/>
    <x v="2"/>
  </r>
  <r>
    <x v="83"/>
    <n v="41"/>
    <x v="0"/>
    <x v="0"/>
    <x v="1"/>
    <x v="0"/>
    <x v="0"/>
    <x v="0"/>
    <n v="3"/>
    <n v="700"/>
    <n v="1100"/>
    <n v="3300"/>
    <n v="2100"/>
    <n v="1200"/>
    <n v="0.36363636363636365"/>
    <x v="2"/>
  </r>
  <r>
    <x v="57"/>
    <n v="41"/>
    <x v="1"/>
    <x v="2"/>
    <x v="5"/>
    <x v="0"/>
    <x v="0"/>
    <x v="10"/>
    <n v="4"/>
    <n v="580"/>
    <n v="920"/>
    <n v="3680"/>
    <n v="2320"/>
    <n v="1360"/>
    <n v="0.36956521739130432"/>
    <x v="2"/>
  </r>
  <r>
    <x v="77"/>
    <n v="41"/>
    <x v="0"/>
    <x v="2"/>
    <x v="5"/>
    <x v="0"/>
    <x v="1"/>
    <x v="16"/>
    <n v="1"/>
    <n v="900"/>
    <n v="1400"/>
    <n v="1400"/>
    <n v="900"/>
    <n v="500"/>
    <n v="0.35714285714285715"/>
    <x v="2"/>
  </r>
  <r>
    <x v="25"/>
    <n v="41"/>
    <x v="1"/>
    <x v="2"/>
    <x v="7"/>
    <x v="0"/>
    <x v="0"/>
    <x v="6"/>
    <n v="1"/>
    <n v="700"/>
    <n v="1100"/>
    <n v="1100"/>
    <n v="700"/>
    <n v="400"/>
    <n v="0.36363636363636365"/>
    <x v="2"/>
  </r>
  <r>
    <x v="70"/>
    <n v="41"/>
    <x v="1"/>
    <x v="3"/>
    <x v="14"/>
    <x v="1"/>
    <x v="2"/>
    <x v="40"/>
    <n v="1"/>
    <n v="550"/>
    <n v="850"/>
    <n v="850"/>
    <n v="550"/>
    <n v="300"/>
    <n v="0.35294117647058826"/>
    <x v="2"/>
  </r>
  <r>
    <x v="15"/>
    <n v="41"/>
    <x v="0"/>
    <x v="2"/>
    <x v="7"/>
    <x v="0"/>
    <x v="0"/>
    <x v="0"/>
    <n v="3"/>
    <n v="700"/>
    <n v="1100"/>
    <n v="3300"/>
    <n v="2100"/>
    <n v="1200"/>
    <n v="0.36363636363636365"/>
    <x v="2"/>
  </r>
  <r>
    <x v="15"/>
    <n v="41"/>
    <x v="1"/>
    <x v="0"/>
    <x v="1"/>
    <x v="1"/>
    <x v="2"/>
    <x v="49"/>
    <n v="2"/>
    <n v="450"/>
    <n v="720"/>
    <n v="1440"/>
    <n v="900"/>
    <n v="540"/>
    <n v="0.375"/>
    <x v="2"/>
  </r>
  <r>
    <x v="19"/>
    <n v="41"/>
    <x v="0"/>
    <x v="2"/>
    <x v="7"/>
    <x v="1"/>
    <x v="0"/>
    <x v="41"/>
    <n v="3"/>
    <n v="550"/>
    <n v="850"/>
    <n v="2550"/>
    <n v="1650"/>
    <n v="900"/>
    <n v="0.35294117647058826"/>
    <x v="2"/>
  </r>
  <r>
    <x v="19"/>
    <n v="41"/>
    <x v="0"/>
    <x v="3"/>
    <x v="8"/>
    <x v="1"/>
    <x v="2"/>
    <x v="20"/>
    <n v="1"/>
    <n v="550"/>
    <n v="850"/>
    <n v="850"/>
    <n v="550"/>
    <n v="300"/>
    <n v="0.35294117647058826"/>
    <x v="2"/>
  </r>
  <r>
    <x v="71"/>
    <n v="41"/>
    <x v="1"/>
    <x v="0"/>
    <x v="0"/>
    <x v="0"/>
    <x v="1"/>
    <x v="16"/>
    <n v="1"/>
    <n v="900"/>
    <n v="1400"/>
    <n v="1400"/>
    <n v="900"/>
    <n v="500"/>
    <n v="0.35714285714285715"/>
    <x v="2"/>
  </r>
  <r>
    <x v="81"/>
    <n v="42"/>
    <x v="1"/>
    <x v="3"/>
    <x v="8"/>
    <x v="0"/>
    <x v="1"/>
    <x v="52"/>
    <n v="1"/>
    <n v="620"/>
    <n v="980"/>
    <n v="980"/>
    <n v="620"/>
    <n v="360"/>
    <n v="0.36734693877551022"/>
    <x v="2"/>
  </r>
  <r>
    <x v="82"/>
    <n v="42"/>
    <x v="1"/>
    <x v="2"/>
    <x v="5"/>
    <x v="0"/>
    <x v="0"/>
    <x v="0"/>
    <n v="2"/>
    <n v="700"/>
    <n v="1100"/>
    <n v="2200"/>
    <n v="1400"/>
    <n v="800"/>
    <n v="0.36363636363636365"/>
    <x v="2"/>
  </r>
  <r>
    <x v="75"/>
    <n v="42"/>
    <x v="0"/>
    <x v="0"/>
    <x v="0"/>
    <x v="1"/>
    <x v="2"/>
    <x v="3"/>
    <n v="1"/>
    <n v="550"/>
    <n v="850"/>
    <n v="850"/>
    <n v="550"/>
    <n v="300"/>
    <n v="0.35294117647058826"/>
    <x v="2"/>
  </r>
  <r>
    <x v="75"/>
    <n v="42"/>
    <x v="0"/>
    <x v="0"/>
    <x v="10"/>
    <x v="1"/>
    <x v="0"/>
    <x v="25"/>
    <n v="1"/>
    <n v="550"/>
    <n v="850"/>
    <n v="850"/>
    <n v="550"/>
    <n v="300"/>
    <n v="0.35294117647058826"/>
    <x v="2"/>
  </r>
  <r>
    <x v="36"/>
    <n v="42"/>
    <x v="0"/>
    <x v="0"/>
    <x v="1"/>
    <x v="0"/>
    <x v="1"/>
    <x v="43"/>
    <n v="1"/>
    <n v="900"/>
    <n v="1400"/>
    <n v="1400"/>
    <n v="900"/>
    <n v="500"/>
    <n v="0.35714285714285715"/>
    <x v="2"/>
  </r>
  <r>
    <x v="46"/>
    <n v="42"/>
    <x v="1"/>
    <x v="0"/>
    <x v="0"/>
    <x v="0"/>
    <x v="0"/>
    <x v="0"/>
    <n v="3"/>
    <n v="700"/>
    <n v="1100"/>
    <n v="3300"/>
    <n v="2100"/>
    <n v="1200"/>
    <n v="0.36363636363636365"/>
    <x v="2"/>
  </r>
  <r>
    <x v="24"/>
    <n v="42"/>
    <x v="0"/>
    <x v="5"/>
    <x v="16"/>
    <x v="0"/>
    <x v="1"/>
    <x v="2"/>
    <n v="1"/>
    <n v="620"/>
    <n v="980"/>
    <n v="980"/>
    <n v="620"/>
    <n v="360"/>
    <n v="0.36734693877551022"/>
    <x v="2"/>
  </r>
  <r>
    <x v="33"/>
    <n v="42"/>
    <x v="0"/>
    <x v="2"/>
    <x v="5"/>
    <x v="0"/>
    <x v="0"/>
    <x v="22"/>
    <n v="3"/>
    <n v="700"/>
    <n v="1100"/>
    <n v="3300"/>
    <n v="2100"/>
    <n v="1200"/>
    <n v="0.36363636363636365"/>
    <x v="2"/>
  </r>
  <r>
    <x v="77"/>
    <n v="42"/>
    <x v="0"/>
    <x v="3"/>
    <x v="12"/>
    <x v="1"/>
    <x v="0"/>
    <x v="25"/>
    <n v="4"/>
    <n v="550"/>
    <n v="850"/>
    <n v="3400"/>
    <n v="2200"/>
    <n v="1200"/>
    <n v="0.35294117647058826"/>
    <x v="2"/>
  </r>
  <r>
    <x v="70"/>
    <n v="42"/>
    <x v="1"/>
    <x v="0"/>
    <x v="1"/>
    <x v="0"/>
    <x v="1"/>
    <x v="5"/>
    <n v="1"/>
    <n v="900"/>
    <n v="1400"/>
    <n v="1400"/>
    <n v="900"/>
    <n v="500"/>
    <n v="0.35714285714285715"/>
    <x v="2"/>
  </r>
  <r>
    <x v="70"/>
    <n v="42"/>
    <x v="1"/>
    <x v="3"/>
    <x v="8"/>
    <x v="0"/>
    <x v="1"/>
    <x v="52"/>
    <n v="1"/>
    <n v="620"/>
    <n v="980"/>
    <n v="980"/>
    <n v="620"/>
    <n v="360"/>
    <n v="0.36734693877551022"/>
    <x v="2"/>
  </r>
  <r>
    <x v="17"/>
    <n v="42"/>
    <x v="1"/>
    <x v="0"/>
    <x v="2"/>
    <x v="0"/>
    <x v="3"/>
    <x v="11"/>
    <n v="1"/>
    <n v="500"/>
    <n v="800"/>
    <n v="800"/>
    <n v="500"/>
    <n v="300"/>
    <n v="0.375"/>
    <x v="2"/>
  </r>
  <r>
    <x v="18"/>
    <n v="42"/>
    <x v="1"/>
    <x v="0"/>
    <x v="0"/>
    <x v="0"/>
    <x v="0"/>
    <x v="0"/>
    <n v="4"/>
    <n v="700"/>
    <n v="1100"/>
    <n v="4400"/>
    <n v="2800"/>
    <n v="1600"/>
    <n v="0.36363636363636365"/>
    <x v="2"/>
  </r>
  <r>
    <x v="18"/>
    <n v="42"/>
    <x v="1"/>
    <x v="3"/>
    <x v="12"/>
    <x v="1"/>
    <x v="2"/>
    <x v="3"/>
    <n v="1"/>
    <n v="550"/>
    <n v="850"/>
    <n v="850"/>
    <n v="550"/>
    <n v="300"/>
    <n v="0.35294117647058826"/>
    <x v="2"/>
  </r>
  <r>
    <x v="18"/>
    <n v="42"/>
    <x v="1"/>
    <x v="0"/>
    <x v="2"/>
    <x v="0"/>
    <x v="3"/>
    <x v="11"/>
    <n v="1"/>
    <n v="500"/>
    <n v="800"/>
    <n v="800"/>
    <n v="500"/>
    <n v="300"/>
    <n v="0.375"/>
    <x v="2"/>
  </r>
  <r>
    <x v="79"/>
    <n v="42"/>
    <x v="0"/>
    <x v="0"/>
    <x v="1"/>
    <x v="0"/>
    <x v="1"/>
    <x v="43"/>
    <n v="3"/>
    <n v="900"/>
    <n v="1400"/>
    <n v="4200"/>
    <n v="2700"/>
    <n v="1500"/>
    <n v="0.35714285714285715"/>
    <x v="2"/>
  </r>
  <r>
    <x v="19"/>
    <n v="42"/>
    <x v="0"/>
    <x v="5"/>
    <x v="16"/>
    <x v="0"/>
    <x v="1"/>
    <x v="2"/>
    <n v="1"/>
    <n v="620"/>
    <n v="980"/>
    <n v="980"/>
    <n v="620"/>
    <n v="360"/>
    <n v="0.36734693877551022"/>
    <x v="2"/>
  </r>
  <r>
    <x v="59"/>
    <n v="42"/>
    <x v="0"/>
    <x v="2"/>
    <x v="5"/>
    <x v="0"/>
    <x v="0"/>
    <x v="22"/>
    <n v="1"/>
    <n v="700"/>
    <n v="1100"/>
    <n v="1100"/>
    <n v="700"/>
    <n v="400"/>
    <n v="0.36363636363636365"/>
    <x v="2"/>
  </r>
  <r>
    <x v="71"/>
    <n v="42"/>
    <x v="1"/>
    <x v="2"/>
    <x v="7"/>
    <x v="0"/>
    <x v="0"/>
    <x v="10"/>
    <n v="1"/>
    <n v="580"/>
    <n v="920"/>
    <n v="920"/>
    <n v="580"/>
    <n v="340"/>
    <n v="0.36956521739130432"/>
    <x v="2"/>
  </r>
  <r>
    <x v="80"/>
    <n v="43"/>
    <x v="0"/>
    <x v="0"/>
    <x v="1"/>
    <x v="0"/>
    <x v="1"/>
    <x v="30"/>
    <n v="1"/>
    <n v="900"/>
    <n v="1400"/>
    <n v="1400"/>
    <n v="900"/>
    <n v="500"/>
    <n v="0.35714285714285715"/>
    <x v="2"/>
  </r>
  <r>
    <x v="89"/>
    <n v="43"/>
    <x v="0"/>
    <x v="0"/>
    <x v="1"/>
    <x v="0"/>
    <x v="1"/>
    <x v="30"/>
    <n v="4"/>
    <n v="900"/>
    <n v="1400"/>
    <n v="5600"/>
    <n v="3600"/>
    <n v="2000"/>
    <n v="0.35714285714285715"/>
    <x v="2"/>
  </r>
  <r>
    <x v="73"/>
    <n v="43"/>
    <x v="0"/>
    <x v="5"/>
    <x v="16"/>
    <x v="0"/>
    <x v="3"/>
    <x v="33"/>
    <n v="2"/>
    <n v="500"/>
    <n v="800"/>
    <n v="1600"/>
    <n v="1000"/>
    <n v="600"/>
    <n v="0.375"/>
    <x v="2"/>
  </r>
  <r>
    <x v="10"/>
    <n v="43"/>
    <x v="0"/>
    <x v="0"/>
    <x v="1"/>
    <x v="1"/>
    <x v="0"/>
    <x v="41"/>
    <n v="3"/>
    <n v="550"/>
    <n v="850"/>
    <n v="2550"/>
    <n v="1650"/>
    <n v="900"/>
    <n v="0.35294117647058826"/>
    <x v="2"/>
  </r>
  <r>
    <x v="53"/>
    <n v="43"/>
    <x v="1"/>
    <x v="2"/>
    <x v="5"/>
    <x v="0"/>
    <x v="1"/>
    <x v="5"/>
    <n v="3"/>
    <n v="900"/>
    <n v="1400"/>
    <n v="4200"/>
    <n v="2700"/>
    <n v="1500"/>
    <n v="0.35714285714285715"/>
    <x v="2"/>
  </r>
  <r>
    <x v="75"/>
    <n v="43"/>
    <x v="0"/>
    <x v="1"/>
    <x v="17"/>
    <x v="0"/>
    <x v="0"/>
    <x v="10"/>
    <n v="1"/>
    <n v="580"/>
    <n v="920"/>
    <n v="920"/>
    <n v="580"/>
    <n v="340"/>
    <n v="0.36956521739130432"/>
    <x v="2"/>
  </r>
  <r>
    <x v="46"/>
    <n v="43"/>
    <x v="1"/>
    <x v="2"/>
    <x v="7"/>
    <x v="0"/>
    <x v="1"/>
    <x v="43"/>
    <n v="1"/>
    <n v="900"/>
    <n v="1400"/>
    <n v="1400"/>
    <n v="900"/>
    <n v="500"/>
    <n v="0.35714285714285715"/>
    <x v="2"/>
  </r>
  <r>
    <x v="25"/>
    <n v="43"/>
    <x v="1"/>
    <x v="2"/>
    <x v="7"/>
    <x v="0"/>
    <x v="1"/>
    <x v="43"/>
    <n v="2"/>
    <n v="900"/>
    <n v="1400"/>
    <n v="2800"/>
    <n v="1800"/>
    <n v="1000"/>
    <n v="0.35714285714285715"/>
    <x v="2"/>
  </r>
  <r>
    <x v="25"/>
    <n v="43"/>
    <x v="0"/>
    <x v="0"/>
    <x v="2"/>
    <x v="0"/>
    <x v="1"/>
    <x v="30"/>
    <n v="1"/>
    <n v="900"/>
    <n v="1400"/>
    <n v="1400"/>
    <n v="900"/>
    <n v="500"/>
    <n v="0.35714285714285715"/>
    <x v="2"/>
  </r>
  <r>
    <x v="48"/>
    <n v="43"/>
    <x v="1"/>
    <x v="0"/>
    <x v="0"/>
    <x v="0"/>
    <x v="3"/>
    <x v="38"/>
    <n v="4"/>
    <n v="530"/>
    <n v="840"/>
    <n v="3360"/>
    <n v="2120"/>
    <n v="1240"/>
    <n v="0.36904761904761907"/>
    <x v="2"/>
  </r>
  <r>
    <x v="16"/>
    <n v="43"/>
    <x v="0"/>
    <x v="2"/>
    <x v="7"/>
    <x v="0"/>
    <x v="1"/>
    <x v="16"/>
    <n v="3"/>
    <n v="900"/>
    <n v="1400"/>
    <n v="4200"/>
    <n v="2700"/>
    <n v="1500"/>
    <n v="0.35714285714285715"/>
    <x v="2"/>
  </r>
  <r>
    <x v="88"/>
    <n v="43"/>
    <x v="1"/>
    <x v="2"/>
    <x v="7"/>
    <x v="0"/>
    <x v="1"/>
    <x v="43"/>
    <n v="2"/>
    <n v="900"/>
    <n v="1400"/>
    <n v="2800"/>
    <n v="1800"/>
    <n v="1000"/>
    <n v="0.35714285714285715"/>
    <x v="2"/>
  </r>
  <r>
    <x v="17"/>
    <n v="43"/>
    <x v="0"/>
    <x v="2"/>
    <x v="7"/>
    <x v="0"/>
    <x v="1"/>
    <x v="16"/>
    <n v="1"/>
    <n v="900"/>
    <n v="1400"/>
    <n v="1400"/>
    <n v="900"/>
    <n v="500"/>
    <n v="0.35714285714285715"/>
    <x v="2"/>
  </r>
  <r>
    <x v="18"/>
    <n v="43"/>
    <x v="1"/>
    <x v="0"/>
    <x v="1"/>
    <x v="0"/>
    <x v="1"/>
    <x v="4"/>
    <n v="1"/>
    <n v="900"/>
    <n v="1400"/>
    <n v="1400"/>
    <n v="900"/>
    <n v="500"/>
    <n v="0.35714285714285715"/>
    <x v="2"/>
  </r>
  <r>
    <x v="79"/>
    <n v="43"/>
    <x v="0"/>
    <x v="2"/>
    <x v="7"/>
    <x v="0"/>
    <x v="1"/>
    <x v="16"/>
    <n v="2"/>
    <n v="900"/>
    <n v="1400"/>
    <n v="2800"/>
    <n v="1800"/>
    <n v="1000"/>
    <n v="0.35714285714285715"/>
    <x v="2"/>
  </r>
  <r>
    <x v="79"/>
    <n v="43"/>
    <x v="0"/>
    <x v="2"/>
    <x v="5"/>
    <x v="0"/>
    <x v="3"/>
    <x v="37"/>
    <n v="1"/>
    <n v="530"/>
    <n v="840"/>
    <n v="840"/>
    <n v="530"/>
    <n v="310"/>
    <n v="0.36904761904761907"/>
    <x v="2"/>
  </r>
  <r>
    <x v="27"/>
    <n v="43"/>
    <x v="0"/>
    <x v="2"/>
    <x v="5"/>
    <x v="0"/>
    <x v="3"/>
    <x v="37"/>
    <n v="1"/>
    <n v="530"/>
    <n v="840"/>
    <n v="840"/>
    <n v="530"/>
    <n v="310"/>
    <n v="0.36904761904761907"/>
    <x v="2"/>
  </r>
  <r>
    <x v="42"/>
    <n v="43"/>
    <x v="0"/>
    <x v="5"/>
    <x v="16"/>
    <x v="1"/>
    <x v="2"/>
    <x v="40"/>
    <n v="2"/>
    <n v="550"/>
    <n v="850"/>
    <n v="1700"/>
    <n v="1100"/>
    <n v="600"/>
    <n v="0.35294117647058826"/>
    <x v="2"/>
  </r>
  <r>
    <x v="42"/>
    <n v="43"/>
    <x v="1"/>
    <x v="0"/>
    <x v="1"/>
    <x v="0"/>
    <x v="1"/>
    <x v="4"/>
    <n v="1"/>
    <n v="900"/>
    <n v="1400"/>
    <n v="1400"/>
    <n v="900"/>
    <n v="500"/>
    <n v="0.35714285714285715"/>
    <x v="2"/>
  </r>
  <r>
    <x v="65"/>
    <n v="44"/>
    <x v="1"/>
    <x v="4"/>
    <x v="11"/>
    <x v="1"/>
    <x v="0"/>
    <x v="56"/>
    <n v="4"/>
    <n v="480"/>
    <n v="760"/>
    <n v="3040"/>
    <n v="1920"/>
    <n v="1120"/>
    <n v="0.36842105263157893"/>
    <x v="2"/>
  </r>
  <r>
    <x v="66"/>
    <n v="44"/>
    <x v="1"/>
    <x v="0"/>
    <x v="1"/>
    <x v="0"/>
    <x v="0"/>
    <x v="22"/>
    <n v="1"/>
    <n v="700"/>
    <n v="1100"/>
    <n v="1100"/>
    <n v="700"/>
    <n v="400"/>
    <n v="0.36363636363636365"/>
    <x v="2"/>
  </r>
  <r>
    <x v="43"/>
    <n v="44"/>
    <x v="1"/>
    <x v="3"/>
    <x v="8"/>
    <x v="0"/>
    <x v="1"/>
    <x v="59"/>
    <n v="3"/>
    <n v="500"/>
    <n v="950"/>
    <n v="2850"/>
    <n v="1500"/>
    <n v="1350"/>
    <n v="0.47368421052631576"/>
    <x v="2"/>
  </r>
  <r>
    <x v="43"/>
    <n v="44"/>
    <x v="0"/>
    <x v="0"/>
    <x v="10"/>
    <x v="1"/>
    <x v="0"/>
    <x v="41"/>
    <n v="2"/>
    <n v="550"/>
    <n v="850"/>
    <n v="1700"/>
    <n v="1100"/>
    <n v="600"/>
    <n v="0.35294117647058826"/>
    <x v="2"/>
  </r>
  <r>
    <x v="20"/>
    <n v="44"/>
    <x v="1"/>
    <x v="0"/>
    <x v="2"/>
    <x v="1"/>
    <x v="2"/>
    <x v="49"/>
    <n v="1"/>
    <n v="450"/>
    <n v="720"/>
    <n v="720"/>
    <n v="450"/>
    <n v="270"/>
    <n v="0.375"/>
    <x v="2"/>
  </r>
  <r>
    <x v="76"/>
    <n v="44"/>
    <x v="1"/>
    <x v="0"/>
    <x v="1"/>
    <x v="0"/>
    <x v="0"/>
    <x v="22"/>
    <n v="4"/>
    <n v="700"/>
    <n v="1100"/>
    <n v="4400"/>
    <n v="2800"/>
    <n v="1600"/>
    <n v="0.36363636363636365"/>
    <x v="2"/>
  </r>
  <r>
    <x v="0"/>
    <n v="44"/>
    <x v="0"/>
    <x v="5"/>
    <x v="16"/>
    <x v="0"/>
    <x v="3"/>
    <x v="33"/>
    <n v="1"/>
    <n v="500"/>
    <n v="800"/>
    <n v="800"/>
    <n v="500"/>
    <n v="300"/>
    <n v="0.375"/>
    <x v="2"/>
  </r>
  <r>
    <x v="39"/>
    <n v="44"/>
    <x v="1"/>
    <x v="2"/>
    <x v="9"/>
    <x v="0"/>
    <x v="0"/>
    <x v="22"/>
    <n v="1"/>
    <n v="700"/>
    <n v="1100"/>
    <n v="1100"/>
    <n v="700"/>
    <n v="400"/>
    <n v="0.36363636363636365"/>
    <x v="2"/>
  </r>
  <r>
    <x v="87"/>
    <n v="44"/>
    <x v="1"/>
    <x v="3"/>
    <x v="8"/>
    <x v="0"/>
    <x v="1"/>
    <x v="59"/>
    <n v="1"/>
    <n v="500"/>
    <n v="950"/>
    <n v="950"/>
    <n v="500"/>
    <n v="450"/>
    <n v="0.47368421052631576"/>
    <x v="2"/>
  </r>
  <r>
    <x v="7"/>
    <n v="44"/>
    <x v="0"/>
    <x v="5"/>
    <x v="16"/>
    <x v="0"/>
    <x v="3"/>
    <x v="33"/>
    <n v="1"/>
    <n v="500"/>
    <n v="800"/>
    <n v="800"/>
    <n v="500"/>
    <n v="300"/>
    <n v="0.375"/>
    <x v="2"/>
  </r>
  <r>
    <x v="33"/>
    <n v="44"/>
    <x v="0"/>
    <x v="5"/>
    <x v="16"/>
    <x v="1"/>
    <x v="2"/>
    <x v="40"/>
    <n v="1"/>
    <n v="550"/>
    <n v="850"/>
    <n v="850"/>
    <n v="550"/>
    <n v="300"/>
    <n v="0.35294117647058826"/>
    <x v="2"/>
  </r>
  <r>
    <x v="83"/>
    <n v="44"/>
    <x v="0"/>
    <x v="2"/>
    <x v="5"/>
    <x v="0"/>
    <x v="1"/>
    <x v="34"/>
    <n v="4"/>
    <n v="580"/>
    <n v="920"/>
    <n v="3680"/>
    <n v="2320"/>
    <n v="1360"/>
    <n v="0.36956521739130432"/>
    <x v="2"/>
  </r>
  <r>
    <x v="78"/>
    <n v="44"/>
    <x v="1"/>
    <x v="5"/>
    <x v="16"/>
    <x v="1"/>
    <x v="0"/>
    <x v="25"/>
    <n v="1"/>
    <n v="550"/>
    <n v="850"/>
    <n v="850"/>
    <n v="550"/>
    <n v="300"/>
    <n v="0.35294117647058826"/>
    <x v="2"/>
  </r>
  <r>
    <x v="88"/>
    <n v="44"/>
    <x v="0"/>
    <x v="2"/>
    <x v="7"/>
    <x v="0"/>
    <x v="0"/>
    <x v="0"/>
    <n v="1"/>
    <n v="700"/>
    <n v="1100"/>
    <n v="1100"/>
    <n v="700"/>
    <n v="400"/>
    <n v="0.36363636363636365"/>
    <x v="2"/>
  </r>
  <r>
    <x v="88"/>
    <n v="44"/>
    <x v="0"/>
    <x v="0"/>
    <x v="1"/>
    <x v="0"/>
    <x v="1"/>
    <x v="8"/>
    <n v="1"/>
    <n v="580"/>
    <n v="920"/>
    <n v="920"/>
    <n v="580"/>
    <n v="340"/>
    <n v="0.36956521739130432"/>
    <x v="2"/>
  </r>
  <r>
    <x v="18"/>
    <n v="44"/>
    <x v="0"/>
    <x v="5"/>
    <x v="16"/>
    <x v="0"/>
    <x v="3"/>
    <x v="33"/>
    <n v="1"/>
    <n v="500"/>
    <n v="800"/>
    <n v="800"/>
    <n v="500"/>
    <n v="300"/>
    <n v="0.375"/>
    <x v="2"/>
  </r>
  <r>
    <x v="63"/>
    <n v="44"/>
    <x v="0"/>
    <x v="2"/>
    <x v="7"/>
    <x v="0"/>
    <x v="0"/>
    <x v="0"/>
    <n v="1"/>
    <n v="700"/>
    <n v="1100"/>
    <n v="1100"/>
    <n v="700"/>
    <n v="400"/>
    <n v="0.36363636363636365"/>
    <x v="2"/>
  </r>
  <r>
    <x v="71"/>
    <n v="44"/>
    <x v="0"/>
    <x v="5"/>
    <x v="16"/>
    <x v="1"/>
    <x v="2"/>
    <x v="40"/>
    <n v="2"/>
    <n v="550"/>
    <n v="850"/>
    <n v="1700"/>
    <n v="1100"/>
    <n v="600"/>
    <n v="0.35294117647058826"/>
    <x v="2"/>
  </r>
  <r>
    <x v="29"/>
    <n v="44"/>
    <x v="1"/>
    <x v="5"/>
    <x v="16"/>
    <x v="1"/>
    <x v="0"/>
    <x v="25"/>
    <n v="3"/>
    <n v="550"/>
    <n v="850"/>
    <n v="2550"/>
    <n v="1650"/>
    <n v="900"/>
    <n v="0.35294117647058826"/>
    <x v="2"/>
  </r>
  <r>
    <x v="42"/>
    <n v="44"/>
    <x v="1"/>
    <x v="0"/>
    <x v="2"/>
    <x v="0"/>
    <x v="0"/>
    <x v="0"/>
    <n v="2"/>
    <n v="700"/>
    <n v="1100"/>
    <n v="2200"/>
    <n v="1400"/>
    <n v="800"/>
    <n v="0.36363636363636365"/>
    <x v="2"/>
  </r>
  <r>
    <x v="64"/>
    <n v="44"/>
    <x v="0"/>
    <x v="0"/>
    <x v="0"/>
    <x v="0"/>
    <x v="3"/>
    <x v="17"/>
    <n v="1"/>
    <n v="500"/>
    <n v="800"/>
    <n v="800"/>
    <n v="500"/>
    <n v="300"/>
    <n v="0.375"/>
    <x v="2"/>
  </r>
  <r>
    <x v="34"/>
    <n v="45"/>
    <x v="1"/>
    <x v="2"/>
    <x v="7"/>
    <x v="0"/>
    <x v="0"/>
    <x v="6"/>
    <n v="2"/>
    <n v="700"/>
    <n v="1100"/>
    <n v="2200"/>
    <n v="1400"/>
    <n v="800"/>
    <n v="0.36363636363636365"/>
    <x v="3"/>
  </r>
  <r>
    <x v="90"/>
    <n v="45"/>
    <x v="1"/>
    <x v="0"/>
    <x v="1"/>
    <x v="0"/>
    <x v="3"/>
    <x v="11"/>
    <n v="1"/>
    <n v="500"/>
    <n v="800"/>
    <n v="800"/>
    <n v="500"/>
    <n v="300"/>
    <n v="0.375"/>
    <x v="3"/>
  </r>
  <r>
    <x v="66"/>
    <n v="45"/>
    <x v="0"/>
    <x v="2"/>
    <x v="5"/>
    <x v="0"/>
    <x v="1"/>
    <x v="4"/>
    <n v="1"/>
    <n v="900"/>
    <n v="1400"/>
    <n v="1400"/>
    <n v="900"/>
    <n v="500"/>
    <n v="0.35714285714285715"/>
    <x v="3"/>
  </r>
  <r>
    <x v="10"/>
    <n v="45"/>
    <x v="0"/>
    <x v="0"/>
    <x v="10"/>
    <x v="0"/>
    <x v="0"/>
    <x v="22"/>
    <n v="1"/>
    <n v="700"/>
    <n v="1100"/>
    <n v="1100"/>
    <n v="700"/>
    <n v="400"/>
    <n v="0.36363636363636365"/>
    <x v="3"/>
  </r>
  <r>
    <x v="81"/>
    <n v="45"/>
    <x v="1"/>
    <x v="0"/>
    <x v="0"/>
    <x v="0"/>
    <x v="0"/>
    <x v="0"/>
    <n v="2"/>
    <n v="700"/>
    <n v="1100"/>
    <n v="2200"/>
    <n v="1400"/>
    <n v="800"/>
    <n v="0.36363636363636365"/>
    <x v="3"/>
  </r>
  <r>
    <x v="67"/>
    <n v="45"/>
    <x v="1"/>
    <x v="2"/>
    <x v="5"/>
    <x v="0"/>
    <x v="0"/>
    <x v="10"/>
    <n v="3"/>
    <n v="580"/>
    <n v="920"/>
    <n v="2760"/>
    <n v="1740"/>
    <n v="1020"/>
    <n v="0.36956521739130432"/>
    <x v="3"/>
  </r>
  <r>
    <x v="68"/>
    <n v="45"/>
    <x v="0"/>
    <x v="2"/>
    <x v="5"/>
    <x v="0"/>
    <x v="1"/>
    <x v="4"/>
    <n v="2"/>
    <n v="900"/>
    <n v="1400"/>
    <n v="2800"/>
    <n v="1800"/>
    <n v="1000"/>
    <n v="0.35714285714285715"/>
    <x v="3"/>
  </r>
  <r>
    <x v="60"/>
    <n v="45"/>
    <x v="1"/>
    <x v="2"/>
    <x v="7"/>
    <x v="0"/>
    <x v="0"/>
    <x v="6"/>
    <n v="1"/>
    <n v="700"/>
    <n v="1100"/>
    <n v="1100"/>
    <n v="700"/>
    <n v="400"/>
    <n v="0.36363636363636365"/>
    <x v="3"/>
  </r>
  <r>
    <x v="37"/>
    <n v="45"/>
    <x v="1"/>
    <x v="2"/>
    <x v="7"/>
    <x v="0"/>
    <x v="0"/>
    <x v="6"/>
    <n v="2"/>
    <n v="700"/>
    <n v="1100"/>
    <n v="2200"/>
    <n v="1400"/>
    <n v="800"/>
    <n v="0.36363636363636365"/>
    <x v="3"/>
  </r>
  <r>
    <x v="11"/>
    <n v="45"/>
    <x v="1"/>
    <x v="4"/>
    <x v="11"/>
    <x v="1"/>
    <x v="2"/>
    <x v="20"/>
    <n v="1"/>
    <n v="550"/>
    <n v="850"/>
    <n v="850"/>
    <n v="550"/>
    <n v="300"/>
    <n v="0.35294117647058826"/>
    <x v="3"/>
  </r>
  <r>
    <x v="87"/>
    <n v="45"/>
    <x v="0"/>
    <x v="5"/>
    <x v="16"/>
    <x v="0"/>
    <x v="0"/>
    <x v="39"/>
    <n v="1"/>
    <n v="620"/>
    <n v="980"/>
    <n v="980"/>
    <n v="620"/>
    <n v="360"/>
    <n v="0.36734693877551022"/>
    <x v="3"/>
  </r>
  <r>
    <x v="14"/>
    <n v="45"/>
    <x v="0"/>
    <x v="5"/>
    <x v="16"/>
    <x v="0"/>
    <x v="0"/>
    <x v="39"/>
    <n v="2"/>
    <n v="620"/>
    <n v="980"/>
    <n v="1960"/>
    <n v="1240"/>
    <n v="720"/>
    <n v="0.36734693877551022"/>
    <x v="3"/>
  </r>
  <r>
    <x v="57"/>
    <n v="45"/>
    <x v="1"/>
    <x v="0"/>
    <x v="1"/>
    <x v="0"/>
    <x v="3"/>
    <x v="11"/>
    <n v="1"/>
    <n v="500"/>
    <n v="800"/>
    <n v="800"/>
    <n v="500"/>
    <n v="300"/>
    <n v="0.375"/>
    <x v="3"/>
  </r>
  <r>
    <x v="25"/>
    <n v="45"/>
    <x v="0"/>
    <x v="3"/>
    <x v="14"/>
    <x v="0"/>
    <x v="0"/>
    <x v="0"/>
    <n v="4"/>
    <n v="700"/>
    <n v="1100"/>
    <n v="4400"/>
    <n v="2800"/>
    <n v="1600"/>
    <n v="0.36363636363636365"/>
    <x v="3"/>
  </r>
  <r>
    <x v="25"/>
    <n v="45"/>
    <x v="0"/>
    <x v="2"/>
    <x v="5"/>
    <x v="0"/>
    <x v="1"/>
    <x v="4"/>
    <n v="1"/>
    <n v="900"/>
    <n v="1400"/>
    <n v="1400"/>
    <n v="900"/>
    <n v="500"/>
    <n v="0.35714285714285715"/>
    <x v="3"/>
  </r>
  <r>
    <x v="26"/>
    <n v="45"/>
    <x v="0"/>
    <x v="5"/>
    <x v="16"/>
    <x v="0"/>
    <x v="0"/>
    <x v="39"/>
    <n v="1"/>
    <n v="620"/>
    <n v="980"/>
    <n v="980"/>
    <n v="620"/>
    <n v="360"/>
    <n v="0.36734693877551022"/>
    <x v="3"/>
  </r>
  <r>
    <x v="58"/>
    <n v="45"/>
    <x v="1"/>
    <x v="0"/>
    <x v="1"/>
    <x v="0"/>
    <x v="3"/>
    <x v="11"/>
    <n v="1"/>
    <n v="500"/>
    <n v="800"/>
    <n v="800"/>
    <n v="500"/>
    <n v="300"/>
    <n v="0.375"/>
    <x v="3"/>
  </r>
  <r>
    <x v="29"/>
    <n v="45"/>
    <x v="1"/>
    <x v="0"/>
    <x v="2"/>
    <x v="0"/>
    <x v="0"/>
    <x v="0"/>
    <n v="4"/>
    <n v="700"/>
    <n v="1100"/>
    <n v="4400"/>
    <n v="2800"/>
    <n v="1600"/>
    <n v="0.36363636363636365"/>
    <x v="3"/>
  </r>
  <r>
    <x v="42"/>
    <n v="45"/>
    <x v="1"/>
    <x v="2"/>
    <x v="7"/>
    <x v="0"/>
    <x v="0"/>
    <x v="6"/>
    <n v="1"/>
    <n v="700"/>
    <n v="1100"/>
    <n v="1100"/>
    <n v="700"/>
    <n v="400"/>
    <n v="0.36363636363636365"/>
    <x v="3"/>
  </r>
  <r>
    <x v="80"/>
    <n v="46"/>
    <x v="0"/>
    <x v="2"/>
    <x v="7"/>
    <x v="0"/>
    <x v="1"/>
    <x v="30"/>
    <n v="1"/>
    <n v="900"/>
    <n v="1400"/>
    <n v="1400"/>
    <n v="900"/>
    <n v="500"/>
    <n v="0.35714285714285715"/>
    <x v="3"/>
  </r>
  <r>
    <x v="84"/>
    <n v="46"/>
    <x v="0"/>
    <x v="0"/>
    <x v="1"/>
    <x v="0"/>
    <x v="0"/>
    <x v="0"/>
    <n v="4"/>
    <n v="700"/>
    <n v="1100"/>
    <n v="4400"/>
    <n v="2800"/>
    <n v="1600"/>
    <n v="0.36363636363636365"/>
    <x v="3"/>
  </r>
  <r>
    <x v="89"/>
    <n v="46"/>
    <x v="1"/>
    <x v="2"/>
    <x v="7"/>
    <x v="0"/>
    <x v="3"/>
    <x v="23"/>
    <n v="2"/>
    <n v="530"/>
    <n v="840"/>
    <n v="1680"/>
    <n v="1060"/>
    <n v="620"/>
    <n v="0.36904761904761907"/>
    <x v="3"/>
  </r>
  <r>
    <x v="89"/>
    <n v="46"/>
    <x v="0"/>
    <x v="2"/>
    <x v="7"/>
    <x v="0"/>
    <x v="1"/>
    <x v="30"/>
    <n v="1"/>
    <n v="900"/>
    <n v="1400"/>
    <n v="1400"/>
    <n v="900"/>
    <n v="500"/>
    <n v="0.35714285714285715"/>
    <x v="3"/>
  </r>
  <r>
    <x v="73"/>
    <n v="46"/>
    <x v="0"/>
    <x v="1"/>
    <x v="22"/>
    <x v="1"/>
    <x v="2"/>
    <x v="3"/>
    <n v="2"/>
    <n v="550"/>
    <n v="850"/>
    <n v="1700"/>
    <n v="1100"/>
    <n v="600"/>
    <n v="0.35294117647058826"/>
    <x v="3"/>
  </r>
  <r>
    <x v="82"/>
    <n v="46"/>
    <x v="1"/>
    <x v="1"/>
    <x v="30"/>
    <x v="1"/>
    <x v="0"/>
    <x v="15"/>
    <n v="4"/>
    <n v="550"/>
    <n v="850"/>
    <n v="3400"/>
    <n v="2200"/>
    <n v="1200"/>
    <n v="0.35294117647058826"/>
    <x v="3"/>
  </r>
  <r>
    <x v="82"/>
    <n v="46"/>
    <x v="1"/>
    <x v="3"/>
    <x v="13"/>
    <x v="0"/>
    <x v="1"/>
    <x v="52"/>
    <n v="1"/>
    <n v="620"/>
    <n v="980"/>
    <n v="980"/>
    <n v="620"/>
    <n v="360"/>
    <n v="0.36734693877551022"/>
    <x v="3"/>
  </r>
  <r>
    <x v="67"/>
    <n v="46"/>
    <x v="1"/>
    <x v="2"/>
    <x v="7"/>
    <x v="0"/>
    <x v="3"/>
    <x v="23"/>
    <n v="1"/>
    <n v="530"/>
    <n v="840"/>
    <n v="840"/>
    <n v="530"/>
    <n v="310"/>
    <n v="0.36904761904761907"/>
    <x v="3"/>
  </r>
  <r>
    <x v="74"/>
    <n v="46"/>
    <x v="1"/>
    <x v="2"/>
    <x v="7"/>
    <x v="0"/>
    <x v="3"/>
    <x v="23"/>
    <n v="1"/>
    <n v="530"/>
    <n v="840"/>
    <n v="840"/>
    <n v="530"/>
    <n v="310"/>
    <n v="0.36904761904761907"/>
    <x v="3"/>
  </r>
  <r>
    <x v="68"/>
    <n v="46"/>
    <x v="0"/>
    <x v="5"/>
    <x v="16"/>
    <x v="0"/>
    <x v="0"/>
    <x v="7"/>
    <n v="4"/>
    <n v="700"/>
    <n v="1100"/>
    <n v="4400"/>
    <n v="2800"/>
    <n v="1600"/>
    <n v="0.36363636363636365"/>
    <x v="3"/>
  </r>
  <r>
    <x v="45"/>
    <n v="46"/>
    <x v="1"/>
    <x v="0"/>
    <x v="0"/>
    <x v="0"/>
    <x v="0"/>
    <x v="0"/>
    <n v="1"/>
    <n v="700"/>
    <n v="1100"/>
    <n v="1100"/>
    <n v="700"/>
    <n v="400"/>
    <n v="0.36363636363636365"/>
    <x v="3"/>
  </r>
  <r>
    <x v="2"/>
    <n v="46"/>
    <x v="0"/>
    <x v="2"/>
    <x v="5"/>
    <x v="1"/>
    <x v="0"/>
    <x v="41"/>
    <n v="1"/>
    <n v="550"/>
    <n v="850"/>
    <n v="850"/>
    <n v="550"/>
    <n v="300"/>
    <n v="0.35294117647058826"/>
    <x v="3"/>
  </r>
  <r>
    <x v="40"/>
    <n v="46"/>
    <x v="1"/>
    <x v="5"/>
    <x v="16"/>
    <x v="0"/>
    <x v="0"/>
    <x v="14"/>
    <n v="1"/>
    <n v="580"/>
    <n v="920"/>
    <n v="920"/>
    <n v="580"/>
    <n v="340"/>
    <n v="0.36956521739130432"/>
    <x v="3"/>
  </r>
  <r>
    <x v="24"/>
    <n v="46"/>
    <x v="1"/>
    <x v="2"/>
    <x v="5"/>
    <x v="1"/>
    <x v="2"/>
    <x v="3"/>
    <n v="1"/>
    <n v="550"/>
    <n v="850"/>
    <n v="850"/>
    <n v="550"/>
    <n v="300"/>
    <n v="0.35294117647058826"/>
    <x v="3"/>
  </r>
  <r>
    <x v="8"/>
    <n v="46"/>
    <x v="0"/>
    <x v="5"/>
    <x v="16"/>
    <x v="1"/>
    <x v="2"/>
    <x v="3"/>
    <n v="1"/>
    <n v="550"/>
    <n v="850"/>
    <n v="850"/>
    <n v="550"/>
    <n v="300"/>
    <n v="0.35294117647058826"/>
    <x v="3"/>
  </r>
  <r>
    <x v="16"/>
    <n v="46"/>
    <x v="1"/>
    <x v="0"/>
    <x v="1"/>
    <x v="0"/>
    <x v="0"/>
    <x v="0"/>
    <n v="1"/>
    <n v="700"/>
    <n v="1100"/>
    <n v="1100"/>
    <n v="700"/>
    <n v="400"/>
    <n v="0.36363636363636365"/>
    <x v="3"/>
  </r>
  <r>
    <x v="88"/>
    <n v="46"/>
    <x v="1"/>
    <x v="0"/>
    <x v="0"/>
    <x v="0"/>
    <x v="0"/>
    <x v="0"/>
    <n v="4"/>
    <n v="700"/>
    <n v="1100"/>
    <n v="4400"/>
    <n v="2800"/>
    <n v="1600"/>
    <n v="0.36363636363636365"/>
    <x v="3"/>
  </r>
  <r>
    <x v="29"/>
    <n v="46"/>
    <x v="0"/>
    <x v="3"/>
    <x v="13"/>
    <x v="0"/>
    <x v="1"/>
    <x v="2"/>
    <n v="1"/>
    <n v="620"/>
    <n v="980"/>
    <n v="980"/>
    <n v="620"/>
    <n v="360"/>
    <n v="0.36734693877551022"/>
    <x v="3"/>
  </r>
  <r>
    <x v="51"/>
    <n v="46"/>
    <x v="1"/>
    <x v="0"/>
    <x v="1"/>
    <x v="0"/>
    <x v="0"/>
    <x v="0"/>
    <n v="1"/>
    <n v="700"/>
    <n v="1100"/>
    <n v="1100"/>
    <n v="700"/>
    <n v="400"/>
    <n v="0.36363636363636365"/>
    <x v="3"/>
  </r>
  <r>
    <x v="80"/>
    <n v="47"/>
    <x v="1"/>
    <x v="2"/>
    <x v="7"/>
    <x v="0"/>
    <x v="3"/>
    <x v="29"/>
    <n v="2"/>
    <n v="530"/>
    <n v="840"/>
    <n v="1680"/>
    <n v="1060"/>
    <n v="620"/>
    <n v="0.36904761904761907"/>
    <x v="3"/>
  </r>
  <r>
    <x v="85"/>
    <n v="47"/>
    <x v="1"/>
    <x v="0"/>
    <x v="0"/>
    <x v="0"/>
    <x v="1"/>
    <x v="5"/>
    <n v="1"/>
    <n v="900"/>
    <n v="1400"/>
    <n v="1400"/>
    <n v="900"/>
    <n v="500"/>
    <n v="0.35714285714285715"/>
    <x v="3"/>
  </r>
  <r>
    <x v="90"/>
    <n v="47"/>
    <x v="1"/>
    <x v="0"/>
    <x v="1"/>
    <x v="1"/>
    <x v="2"/>
    <x v="18"/>
    <n v="1"/>
    <n v="480"/>
    <n v="760"/>
    <n v="760"/>
    <n v="480"/>
    <n v="280"/>
    <n v="0.36842105263157893"/>
    <x v="3"/>
  </r>
  <r>
    <x v="10"/>
    <n v="47"/>
    <x v="0"/>
    <x v="0"/>
    <x v="1"/>
    <x v="1"/>
    <x v="2"/>
    <x v="21"/>
    <n v="1"/>
    <n v="480"/>
    <n v="760"/>
    <n v="760"/>
    <n v="480"/>
    <n v="280"/>
    <n v="0.36842105263157893"/>
    <x v="3"/>
  </r>
  <r>
    <x v="82"/>
    <n v="47"/>
    <x v="0"/>
    <x v="2"/>
    <x v="7"/>
    <x v="0"/>
    <x v="1"/>
    <x v="59"/>
    <n v="4"/>
    <n v="500"/>
    <n v="950"/>
    <n v="3800"/>
    <n v="2000"/>
    <n v="1800"/>
    <n v="0.47368421052631576"/>
    <x v="3"/>
  </r>
  <r>
    <x v="82"/>
    <n v="47"/>
    <x v="1"/>
    <x v="2"/>
    <x v="31"/>
    <x v="0"/>
    <x v="1"/>
    <x v="52"/>
    <n v="2"/>
    <n v="620"/>
    <n v="980"/>
    <n v="1960"/>
    <n v="1240"/>
    <n v="720"/>
    <n v="0.36734693877551022"/>
    <x v="3"/>
  </r>
  <r>
    <x v="75"/>
    <n v="47"/>
    <x v="1"/>
    <x v="0"/>
    <x v="2"/>
    <x v="1"/>
    <x v="0"/>
    <x v="15"/>
    <n v="1"/>
    <n v="550"/>
    <n v="850"/>
    <n v="850"/>
    <n v="550"/>
    <n v="300"/>
    <n v="0.35294117647058826"/>
    <x v="3"/>
  </r>
  <r>
    <x v="45"/>
    <n v="47"/>
    <x v="1"/>
    <x v="1"/>
    <x v="4"/>
    <x v="0"/>
    <x v="1"/>
    <x v="34"/>
    <n v="1"/>
    <n v="580"/>
    <n v="920"/>
    <n v="920"/>
    <n v="580"/>
    <n v="340"/>
    <n v="0.36956521739130432"/>
    <x v="3"/>
  </r>
  <r>
    <x v="86"/>
    <n v="47"/>
    <x v="0"/>
    <x v="4"/>
    <x v="11"/>
    <x v="0"/>
    <x v="0"/>
    <x v="7"/>
    <n v="3"/>
    <n v="700"/>
    <n v="1100"/>
    <n v="3300"/>
    <n v="2100"/>
    <n v="1200"/>
    <n v="0.36363636363636365"/>
    <x v="3"/>
  </r>
  <r>
    <x v="11"/>
    <n v="47"/>
    <x v="1"/>
    <x v="2"/>
    <x v="5"/>
    <x v="1"/>
    <x v="2"/>
    <x v="58"/>
    <n v="1"/>
    <n v="480"/>
    <n v="760"/>
    <n v="760"/>
    <n v="480"/>
    <n v="280"/>
    <n v="0.36842105263157893"/>
    <x v="3"/>
  </r>
  <r>
    <x v="57"/>
    <n v="47"/>
    <x v="0"/>
    <x v="0"/>
    <x v="1"/>
    <x v="0"/>
    <x v="0"/>
    <x v="7"/>
    <n v="4"/>
    <n v="700"/>
    <n v="1100"/>
    <n v="4400"/>
    <n v="2800"/>
    <n v="1600"/>
    <n v="0.36363636363636365"/>
    <x v="3"/>
  </r>
  <r>
    <x v="47"/>
    <n v="47"/>
    <x v="0"/>
    <x v="5"/>
    <x v="16"/>
    <x v="1"/>
    <x v="2"/>
    <x v="20"/>
    <n v="1"/>
    <n v="550"/>
    <n v="850"/>
    <n v="850"/>
    <n v="550"/>
    <n v="300"/>
    <n v="0.35294117647058826"/>
    <x v="3"/>
  </r>
  <r>
    <x v="26"/>
    <n v="47"/>
    <x v="1"/>
    <x v="4"/>
    <x v="11"/>
    <x v="0"/>
    <x v="0"/>
    <x v="22"/>
    <n v="1"/>
    <n v="700"/>
    <n v="1100"/>
    <n v="1100"/>
    <n v="700"/>
    <n v="400"/>
    <n v="0.36363636363636365"/>
    <x v="3"/>
  </r>
  <r>
    <x v="16"/>
    <n v="47"/>
    <x v="0"/>
    <x v="3"/>
    <x v="12"/>
    <x v="0"/>
    <x v="0"/>
    <x v="26"/>
    <n v="4"/>
    <n v="620"/>
    <n v="980"/>
    <n v="3920"/>
    <n v="2480"/>
    <n v="1440"/>
    <n v="0.36734693877551022"/>
    <x v="3"/>
  </r>
  <r>
    <x v="49"/>
    <n v="47"/>
    <x v="0"/>
    <x v="5"/>
    <x v="16"/>
    <x v="0"/>
    <x v="0"/>
    <x v="9"/>
    <n v="2"/>
    <n v="620"/>
    <n v="980"/>
    <n v="1960"/>
    <n v="1240"/>
    <n v="720"/>
    <n v="0.36734693877551022"/>
    <x v="3"/>
  </r>
  <r>
    <x v="58"/>
    <n v="47"/>
    <x v="0"/>
    <x v="0"/>
    <x v="0"/>
    <x v="0"/>
    <x v="0"/>
    <x v="0"/>
    <n v="2"/>
    <n v="700"/>
    <n v="1100"/>
    <n v="2200"/>
    <n v="1400"/>
    <n v="800"/>
    <n v="0.36363636363636365"/>
    <x v="3"/>
  </r>
  <r>
    <x v="72"/>
    <n v="48"/>
    <x v="1"/>
    <x v="2"/>
    <x v="7"/>
    <x v="0"/>
    <x v="3"/>
    <x v="11"/>
    <n v="3"/>
    <n v="500"/>
    <n v="800"/>
    <n v="2400"/>
    <n v="1500"/>
    <n v="900"/>
    <n v="0.375"/>
    <x v="3"/>
  </r>
  <r>
    <x v="81"/>
    <n v="48"/>
    <x v="1"/>
    <x v="0"/>
    <x v="1"/>
    <x v="0"/>
    <x v="3"/>
    <x v="36"/>
    <n v="3"/>
    <n v="500"/>
    <n v="800"/>
    <n v="2400"/>
    <n v="1500"/>
    <n v="900"/>
    <n v="0.375"/>
    <x v="3"/>
  </r>
  <r>
    <x v="0"/>
    <n v="48"/>
    <x v="0"/>
    <x v="3"/>
    <x v="8"/>
    <x v="0"/>
    <x v="0"/>
    <x v="39"/>
    <n v="1"/>
    <n v="620"/>
    <n v="980"/>
    <n v="980"/>
    <n v="620"/>
    <n v="360"/>
    <n v="0.36734693877551022"/>
    <x v="3"/>
  </r>
  <r>
    <x v="13"/>
    <n v="48"/>
    <x v="0"/>
    <x v="2"/>
    <x v="5"/>
    <x v="1"/>
    <x v="2"/>
    <x v="3"/>
    <n v="3"/>
    <n v="550"/>
    <n v="850"/>
    <n v="2550"/>
    <n v="1650"/>
    <n v="900"/>
    <n v="0.35294117647058826"/>
    <x v="3"/>
  </r>
  <r>
    <x v="14"/>
    <n v="48"/>
    <x v="0"/>
    <x v="2"/>
    <x v="7"/>
    <x v="1"/>
    <x v="0"/>
    <x v="15"/>
    <n v="2"/>
    <n v="550"/>
    <n v="850"/>
    <n v="1700"/>
    <n v="1100"/>
    <n v="600"/>
    <n v="0.35294117647058826"/>
    <x v="3"/>
  </r>
  <r>
    <x v="40"/>
    <n v="48"/>
    <x v="0"/>
    <x v="2"/>
    <x v="7"/>
    <x v="1"/>
    <x v="0"/>
    <x v="15"/>
    <n v="1"/>
    <n v="550"/>
    <n v="850"/>
    <n v="850"/>
    <n v="550"/>
    <n v="300"/>
    <n v="0.35294117647058826"/>
    <x v="3"/>
  </r>
  <r>
    <x v="77"/>
    <n v="48"/>
    <x v="0"/>
    <x v="4"/>
    <x v="11"/>
    <x v="0"/>
    <x v="0"/>
    <x v="0"/>
    <n v="2"/>
    <n v="700"/>
    <n v="1100"/>
    <n v="2200"/>
    <n v="1400"/>
    <n v="800"/>
    <n v="0.36363636363636365"/>
    <x v="3"/>
  </r>
  <r>
    <x v="17"/>
    <n v="48"/>
    <x v="1"/>
    <x v="4"/>
    <x v="11"/>
    <x v="0"/>
    <x v="0"/>
    <x v="7"/>
    <n v="4"/>
    <n v="700"/>
    <n v="1100"/>
    <n v="4400"/>
    <n v="2800"/>
    <n v="1600"/>
    <n v="0.36363636363636365"/>
    <x v="3"/>
  </r>
  <r>
    <x v="4"/>
    <n v="49"/>
    <x v="1"/>
    <x v="2"/>
    <x v="7"/>
    <x v="1"/>
    <x v="0"/>
    <x v="15"/>
    <n v="1"/>
    <n v="550"/>
    <n v="850"/>
    <n v="850"/>
    <n v="550"/>
    <n v="300"/>
    <n v="0.35294117647058826"/>
    <x v="3"/>
  </r>
  <r>
    <x v="56"/>
    <n v="49"/>
    <x v="1"/>
    <x v="4"/>
    <x v="11"/>
    <x v="0"/>
    <x v="1"/>
    <x v="32"/>
    <n v="2"/>
    <n v="580"/>
    <n v="920"/>
    <n v="1840"/>
    <n v="1160"/>
    <n v="680"/>
    <n v="0.36956521739130432"/>
    <x v="3"/>
  </r>
  <r>
    <x v="25"/>
    <n v="49"/>
    <x v="0"/>
    <x v="5"/>
    <x v="16"/>
    <x v="0"/>
    <x v="1"/>
    <x v="34"/>
    <n v="1"/>
    <n v="580"/>
    <n v="920"/>
    <n v="920"/>
    <n v="580"/>
    <n v="340"/>
    <n v="0.36956521739130432"/>
    <x v="3"/>
  </r>
  <r>
    <x v="78"/>
    <n v="49"/>
    <x v="0"/>
    <x v="5"/>
    <x v="16"/>
    <x v="1"/>
    <x v="0"/>
    <x v="25"/>
    <n v="1"/>
    <n v="550"/>
    <n v="850"/>
    <n v="850"/>
    <n v="550"/>
    <n v="300"/>
    <n v="0.35294117647058826"/>
    <x v="3"/>
  </r>
  <r>
    <x v="28"/>
    <n v="49"/>
    <x v="1"/>
    <x v="3"/>
    <x v="12"/>
    <x v="0"/>
    <x v="1"/>
    <x v="8"/>
    <n v="3"/>
    <n v="580"/>
    <n v="920"/>
    <n v="2760"/>
    <n v="1740"/>
    <n v="1020"/>
    <n v="0.36956521739130432"/>
    <x v="3"/>
  </r>
  <r>
    <x v="71"/>
    <n v="49"/>
    <x v="0"/>
    <x v="0"/>
    <x v="1"/>
    <x v="0"/>
    <x v="0"/>
    <x v="6"/>
    <n v="1"/>
    <n v="700"/>
    <n v="1100"/>
    <n v="1100"/>
    <n v="700"/>
    <n v="400"/>
    <n v="0.36363636363636365"/>
    <x v="3"/>
  </r>
  <r>
    <x v="80"/>
    <n v="50"/>
    <x v="0"/>
    <x v="0"/>
    <x v="2"/>
    <x v="1"/>
    <x v="0"/>
    <x v="19"/>
    <n v="1"/>
    <n v="480"/>
    <n v="760"/>
    <n v="760"/>
    <n v="480"/>
    <n v="280"/>
    <n v="0.36842105263157893"/>
    <x v="3"/>
  </r>
  <r>
    <x v="10"/>
    <n v="50"/>
    <x v="0"/>
    <x v="0"/>
    <x v="1"/>
    <x v="1"/>
    <x v="0"/>
    <x v="46"/>
    <n v="4"/>
    <n v="480"/>
    <n v="760"/>
    <n v="3040"/>
    <n v="1920"/>
    <n v="1120"/>
    <n v="0.36842105263157893"/>
    <x v="3"/>
  </r>
  <r>
    <x v="82"/>
    <n v="50"/>
    <x v="0"/>
    <x v="2"/>
    <x v="7"/>
    <x v="1"/>
    <x v="0"/>
    <x v="15"/>
    <n v="1"/>
    <n v="550"/>
    <n v="850"/>
    <n v="850"/>
    <n v="550"/>
    <n v="300"/>
    <n v="0.35294117647058826"/>
    <x v="3"/>
  </r>
  <r>
    <x v="74"/>
    <n v="50"/>
    <x v="0"/>
    <x v="0"/>
    <x v="0"/>
    <x v="1"/>
    <x v="2"/>
    <x v="58"/>
    <n v="1"/>
    <n v="480"/>
    <n v="760"/>
    <n v="760"/>
    <n v="480"/>
    <n v="280"/>
    <n v="0.36842105263157893"/>
    <x v="3"/>
  </r>
  <r>
    <x v="12"/>
    <n v="50"/>
    <x v="0"/>
    <x v="3"/>
    <x v="12"/>
    <x v="0"/>
    <x v="1"/>
    <x v="52"/>
    <n v="2"/>
    <n v="620"/>
    <n v="980"/>
    <n v="1960"/>
    <n v="1240"/>
    <n v="720"/>
    <n v="0.36734693877551022"/>
    <x v="3"/>
  </r>
  <r>
    <x v="30"/>
    <n v="50"/>
    <x v="1"/>
    <x v="2"/>
    <x v="5"/>
    <x v="1"/>
    <x v="0"/>
    <x v="15"/>
    <n v="1"/>
    <n v="550"/>
    <n v="850"/>
    <n v="850"/>
    <n v="550"/>
    <n v="300"/>
    <n v="0.35294117647058826"/>
    <x v="3"/>
  </r>
  <r>
    <x v="9"/>
    <n v="50"/>
    <x v="1"/>
    <x v="3"/>
    <x v="12"/>
    <x v="0"/>
    <x v="3"/>
    <x v="17"/>
    <n v="3"/>
    <n v="500"/>
    <n v="800"/>
    <n v="2400"/>
    <n v="1500"/>
    <n v="900"/>
    <n v="0.375"/>
    <x v="3"/>
  </r>
  <r>
    <x v="63"/>
    <n v="50"/>
    <x v="0"/>
    <x v="0"/>
    <x v="1"/>
    <x v="0"/>
    <x v="0"/>
    <x v="6"/>
    <n v="1"/>
    <n v="700"/>
    <n v="1100"/>
    <n v="1100"/>
    <n v="700"/>
    <n v="400"/>
    <n v="0.36363636363636365"/>
    <x v="3"/>
  </r>
  <r>
    <x v="84"/>
    <n v="51"/>
    <x v="0"/>
    <x v="2"/>
    <x v="5"/>
    <x v="1"/>
    <x v="0"/>
    <x v="57"/>
    <n v="1"/>
    <n v="400"/>
    <n v="650"/>
    <n v="650"/>
    <n v="400"/>
    <n v="250"/>
    <n v="0.38461538461538464"/>
    <x v="3"/>
  </r>
  <r>
    <x v="74"/>
    <n v="51"/>
    <x v="0"/>
    <x v="2"/>
    <x v="9"/>
    <x v="1"/>
    <x v="0"/>
    <x v="25"/>
    <n v="4"/>
    <n v="550"/>
    <n v="850"/>
    <n v="3400"/>
    <n v="2200"/>
    <n v="1200"/>
    <n v="0.35294117647058826"/>
    <x v="3"/>
  </r>
  <r>
    <x v="68"/>
    <n v="51"/>
    <x v="1"/>
    <x v="0"/>
    <x v="1"/>
    <x v="1"/>
    <x v="2"/>
    <x v="40"/>
    <n v="1"/>
    <n v="550"/>
    <n v="850"/>
    <n v="850"/>
    <n v="550"/>
    <n v="300"/>
    <n v="0.35294117647058826"/>
    <x v="3"/>
  </r>
  <r>
    <x v="45"/>
    <n v="51"/>
    <x v="1"/>
    <x v="2"/>
    <x v="7"/>
    <x v="1"/>
    <x v="2"/>
    <x v="13"/>
    <n v="1"/>
    <n v="450"/>
    <n v="720"/>
    <n v="720"/>
    <n v="450"/>
    <n v="270"/>
    <n v="0.375"/>
    <x v="3"/>
  </r>
  <r>
    <x v="46"/>
    <n v="51"/>
    <x v="0"/>
    <x v="2"/>
    <x v="7"/>
    <x v="1"/>
    <x v="2"/>
    <x v="49"/>
    <n v="4"/>
    <n v="450"/>
    <n v="720"/>
    <n v="2880"/>
    <n v="1800"/>
    <n v="1080"/>
    <n v="0.375"/>
    <x v="3"/>
  </r>
  <r>
    <x v="79"/>
    <n v="51"/>
    <x v="1"/>
    <x v="0"/>
    <x v="1"/>
    <x v="0"/>
    <x v="3"/>
    <x v="37"/>
    <n v="1"/>
    <n v="530"/>
    <n v="840"/>
    <n v="840"/>
    <n v="530"/>
    <n v="310"/>
    <n v="0.36904761904761907"/>
    <x v="3"/>
  </r>
  <r>
    <x v="84"/>
    <n v="52"/>
    <x v="0"/>
    <x v="0"/>
    <x v="1"/>
    <x v="1"/>
    <x v="2"/>
    <x v="20"/>
    <n v="1"/>
    <n v="550"/>
    <n v="850"/>
    <n v="850"/>
    <n v="550"/>
    <n v="300"/>
    <n v="0.35294117647058826"/>
    <x v="3"/>
  </r>
  <r>
    <x v="43"/>
    <n v="52"/>
    <x v="0"/>
    <x v="2"/>
    <x v="7"/>
    <x v="1"/>
    <x v="2"/>
    <x v="3"/>
    <n v="2"/>
    <n v="550"/>
    <n v="850"/>
    <n v="1700"/>
    <n v="1100"/>
    <n v="600"/>
    <n v="0.35294117647058826"/>
    <x v="3"/>
  </r>
  <r>
    <x v="30"/>
    <n v="52"/>
    <x v="0"/>
    <x v="5"/>
    <x v="16"/>
    <x v="1"/>
    <x v="0"/>
    <x v="41"/>
    <n v="3"/>
    <n v="550"/>
    <n v="850"/>
    <n v="2550"/>
    <n v="1650"/>
    <n v="900"/>
    <n v="0.35294117647058826"/>
    <x v="3"/>
  </r>
  <r>
    <x v="62"/>
    <n v="52"/>
    <x v="1"/>
    <x v="4"/>
    <x v="11"/>
    <x v="0"/>
    <x v="3"/>
    <x v="35"/>
    <n v="2"/>
    <n v="500"/>
    <n v="800"/>
    <n v="1600"/>
    <n v="1000"/>
    <n v="600"/>
    <n v="0.375"/>
    <x v="3"/>
  </r>
  <r>
    <x v="16"/>
    <n v="52"/>
    <x v="1"/>
    <x v="5"/>
    <x v="16"/>
    <x v="0"/>
    <x v="0"/>
    <x v="14"/>
    <n v="3"/>
    <n v="580"/>
    <n v="920"/>
    <n v="2760"/>
    <n v="1740"/>
    <n v="1020"/>
    <n v="0.36956521739130432"/>
    <x v="3"/>
  </r>
  <r>
    <x v="64"/>
    <n v="52"/>
    <x v="1"/>
    <x v="5"/>
    <x v="16"/>
    <x v="0"/>
    <x v="0"/>
    <x v="14"/>
    <n v="2"/>
    <n v="580"/>
    <n v="920"/>
    <n v="1840"/>
    <n v="1160"/>
    <n v="680"/>
    <n v="0.36956521739130432"/>
    <x v="3"/>
  </r>
  <r>
    <x v="72"/>
    <n v="53"/>
    <x v="0"/>
    <x v="0"/>
    <x v="1"/>
    <x v="1"/>
    <x v="0"/>
    <x v="41"/>
    <n v="1"/>
    <n v="550"/>
    <n v="850"/>
    <n v="850"/>
    <n v="550"/>
    <n v="300"/>
    <n v="0.35294117647058826"/>
    <x v="3"/>
  </r>
  <r>
    <x v="34"/>
    <n v="53"/>
    <x v="0"/>
    <x v="1"/>
    <x v="23"/>
    <x v="0"/>
    <x v="0"/>
    <x v="14"/>
    <n v="4"/>
    <n v="580"/>
    <n v="920"/>
    <n v="3680"/>
    <n v="2320"/>
    <n v="1360"/>
    <n v="0.36956521739130432"/>
    <x v="3"/>
  </r>
  <r>
    <x v="66"/>
    <n v="53"/>
    <x v="1"/>
    <x v="5"/>
    <x v="16"/>
    <x v="0"/>
    <x v="0"/>
    <x v="10"/>
    <n v="1"/>
    <n v="580"/>
    <n v="920"/>
    <n v="920"/>
    <n v="580"/>
    <n v="340"/>
    <n v="0.36956521739130432"/>
    <x v="3"/>
  </r>
  <r>
    <x v="46"/>
    <n v="53"/>
    <x v="0"/>
    <x v="1"/>
    <x v="15"/>
    <x v="0"/>
    <x v="1"/>
    <x v="16"/>
    <n v="3"/>
    <n v="900"/>
    <n v="1400"/>
    <n v="4200"/>
    <n v="2700"/>
    <n v="1500"/>
    <n v="0.35714285714285715"/>
    <x v="3"/>
  </r>
  <r>
    <x v="62"/>
    <n v="53"/>
    <x v="0"/>
    <x v="5"/>
    <x v="16"/>
    <x v="1"/>
    <x v="2"/>
    <x v="3"/>
    <n v="2"/>
    <n v="550"/>
    <n v="850"/>
    <n v="1700"/>
    <n v="1100"/>
    <n v="600"/>
    <n v="0.35294117647058826"/>
    <x v="3"/>
  </r>
  <r>
    <x v="34"/>
    <n v="54"/>
    <x v="1"/>
    <x v="5"/>
    <x v="16"/>
    <x v="0"/>
    <x v="0"/>
    <x v="6"/>
    <n v="1"/>
    <n v="700"/>
    <n v="1100"/>
    <n v="1100"/>
    <n v="700"/>
    <n v="400"/>
    <n v="0.36363636363636365"/>
    <x v="3"/>
  </r>
  <r>
    <x v="36"/>
    <n v="54"/>
    <x v="1"/>
    <x v="5"/>
    <x v="16"/>
    <x v="0"/>
    <x v="0"/>
    <x v="6"/>
    <n v="4"/>
    <n v="700"/>
    <n v="1100"/>
    <n v="4400"/>
    <n v="2800"/>
    <n v="1600"/>
    <n v="0.36363636363636365"/>
    <x v="3"/>
  </r>
  <r>
    <x v="36"/>
    <n v="54"/>
    <x v="0"/>
    <x v="0"/>
    <x v="2"/>
    <x v="0"/>
    <x v="3"/>
    <x v="33"/>
    <n v="2"/>
    <n v="500"/>
    <n v="800"/>
    <n v="1600"/>
    <n v="1000"/>
    <n v="600"/>
    <n v="0.375"/>
    <x v="3"/>
  </r>
  <r>
    <x v="46"/>
    <n v="54"/>
    <x v="0"/>
    <x v="0"/>
    <x v="1"/>
    <x v="0"/>
    <x v="0"/>
    <x v="48"/>
    <n v="1"/>
    <n v="620"/>
    <n v="980"/>
    <n v="980"/>
    <n v="620"/>
    <n v="360"/>
    <n v="0.36734693877551022"/>
    <x v="3"/>
  </r>
  <r>
    <x v="57"/>
    <n v="54"/>
    <x v="0"/>
    <x v="2"/>
    <x v="7"/>
    <x v="0"/>
    <x v="3"/>
    <x v="35"/>
    <n v="1"/>
    <n v="500"/>
    <n v="800"/>
    <n v="800"/>
    <n v="500"/>
    <n v="300"/>
    <n v="0.375"/>
    <x v="3"/>
  </r>
  <r>
    <x v="15"/>
    <n v="54"/>
    <x v="0"/>
    <x v="2"/>
    <x v="5"/>
    <x v="0"/>
    <x v="3"/>
    <x v="11"/>
    <n v="1"/>
    <n v="500"/>
    <n v="800"/>
    <n v="800"/>
    <n v="500"/>
    <n v="300"/>
    <n v="0.375"/>
    <x v="3"/>
  </r>
  <r>
    <x v="78"/>
    <n v="54"/>
    <x v="1"/>
    <x v="2"/>
    <x v="5"/>
    <x v="0"/>
    <x v="1"/>
    <x v="2"/>
    <n v="1"/>
    <n v="620"/>
    <n v="980"/>
    <n v="980"/>
    <n v="620"/>
    <n v="360"/>
    <n v="0.36734693877551022"/>
    <x v="3"/>
  </r>
  <r>
    <x v="59"/>
    <n v="54"/>
    <x v="0"/>
    <x v="0"/>
    <x v="0"/>
    <x v="1"/>
    <x v="0"/>
    <x v="25"/>
    <n v="2"/>
    <n v="550"/>
    <n v="850"/>
    <n v="1700"/>
    <n v="1100"/>
    <n v="600"/>
    <n v="0.35294117647058826"/>
    <x v="3"/>
  </r>
  <r>
    <x v="35"/>
    <n v="55"/>
    <x v="0"/>
    <x v="0"/>
    <x v="0"/>
    <x v="0"/>
    <x v="3"/>
    <x v="23"/>
    <n v="4"/>
    <n v="530"/>
    <n v="840"/>
    <n v="3360"/>
    <n v="2120"/>
    <n v="1240"/>
    <n v="0.36904761904761907"/>
    <x v="4"/>
  </r>
  <r>
    <x v="10"/>
    <n v="55"/>
    <x v="0"/>
    <x v="0"/>
    <x v="1"/>
    <x v="0"/>
    <x v="0"/>
    <x v="22"/>
    <n v="1"/>
    <n v="700"/>
    <n v="1100"/>
    <n v="1100"/>
    <n v="700"/>
    <n v="400"/>
    <n v="0.36363636363636365"/>
    <x v="4"/>
  </r>
  <r>
    <x v="88"/>
    <n v="55"/>
    <x v="0"/>
    <x v="2"/>
    <x v="5"/>
    <x v="0"/>
    <x v="3"/>
    <x v="17"/>
    <n v="1"/>
    <n v="500"/>
    <n v="800"/>
    <n v="800"/>
    <n v="500"/>
    <n v="300"/>
    <n v="0.375"/>
    <x v="4"/>
  </r>
  <r>
    <x v="68"/>
    <n v="56"/>
    <x v="0"/>
    <x v="0"/>
    <x v="1"/>
    <x v="0"/>
    <x v="3"/>
    <x v="35"/>
    <n v="3"/>
    <n v="500"/>
    <n v="800"/>
    <n v="2400"/>
    <n v="1500"/>
    <n v="900"/>
    <n v="0.375"/>
    <x v="4"/>
  </r>
  <r>
    <x v="0"/>
    <n v="56"/>
    <x v="1"/>
    <x v="2"/>
    <x v="9"/>
    <x v="0"/>
    <x v="0"/>
    <x v="10"/>
    <n v="1"/>
    <n v="580"/>
    <n v="920"/>
    <n v="920"/>
    <n v="580"/>
    <n v="340"/>
    <n v="0.36956521739130432"/>
    <x v="4"/>
  </r>
  <r>
    <x v="12"/>
    <n v="56"/>
    <x v="1"/>
    <x v="2"/>
    <x v="7"/>
    <x v="0"/>
    <x v="3"/>
    <x v="35"/>
    <n v="4"/>
    <n v="500"/>
    <n v="800"/>
    <n v="3200"/>
    <n v="2000"/>
    <n v="1200"/>
    <n v="0.375"/>
    <x v="4"/>
  </r>
  <r>
    <x v="22"/>
    <n v="56"/>
    <x v="0"/>
    <x v="2"/>
    <x v="5"/>
    <x v="0"/>
    <x v="1"/>
    <x v="34"/>
    <n v="1"/>
    <n v="580"/>
    <n v="920"/>
    <n v="920"/>
    <n v="580"/>
    <n v="340"/>
    <n v="0.36956521739130432"/>
    <x v="4"/>
  </r>
  <r>
    <x v="22"/>
    <n v="56"/>
    <x v="0"/>
    <x v="2"/>
    <x v="5"/>
    <x v="0"/>
    <x v="1"/>
    <x v="34"/>
    <n v="1"/>
    <n v="580"/>
    <n v="920"/>
    <n v="920"/>
    <n v="580"/>
    <n v="340"/>
    <n v="0.36956521739130432"/>
    <x v="4"/>
  </r>
  <r>
    <x v="56"/>
    <n v="56"/>
    <x v="1"/>
    <x v="2"/>
    <x v="5"/>
    <x v="0"/>
    <x v="0"/>
    <x v="6"/>
    <n v="3"/>
    <n v="700"/>
    <n v="1100"/>
    <n v="3300"/>
    <n v="2100"/>
    <n v="1200"/>
    <n v="0.36363636363636365"/>
    <x v="4"/>
  </r>
  <r>
    <x v="15"/>
    <n v="56"/>
    <x v="0"/>
    <x v="2"/>
    <x v="7"/>
    <x v="0"/>
    <x v="1"/>
    <x v="8"/>
    <n v="4"/>
    <n v="580"/>
    <n v="920"/>
    <n v="3680"/>
    <n v="2320"/>
    <n v="1360"/>
    <n v="0.36956521739130432"/>
    <x v="4"/>
  </r>
  <r>
    <x v="9"/>
    <n v="56"/>
    <x v="1"/>
    <x v="3"/>
    <x v="8"/>
    <x v="1"/>
    <x v="0"/>
    <x v="15"/>
    <n v="2"/>
    <n v="550"/>
    <n v="850"/>
    <n v="1700"/>
    <n v="1100"/>
    <n v="600"/>
    <n v="0.35294117647058826"/>
    <x v="4"/>
  </r>
  <r>
    <x v="66"/>
    <n v="57"/>
    <x v="0"/>
    <x v="0"/>
    <x v="2"/>
    <x v="0"/>
    <x v="3"/>
    <x v="17"/>
    <n v="1"/>
    <n v="500"/>
    <n v="800"/>
    <n v="800"/>
    <n v="500"/>
    <n v="300"/>
    <n v="0.375"/>
    <x v="4"/>
  </r>
  <r>
    <x v="53"/>
    <n v="57"/>
    <x v="0"/>
    <x v="0"/>
    <x v="1"/>
    <x v="0"/>
    <x v="1"/>
    <x v="30"/>
    <n v="4"/>
    <n v="900"/>
    <n v="1400"/>
    <n v="5600"/>
    <n v="3600"/>
    <n v="2000"/>
    <n v="0.35714285714285715"/>
    <x v="4"/>
  </r>
  <r>
    <x v="43"/>
    <n v="57"/>
    <x v="1"/>
    <x v="0"/>
    <x v="0"/>
    <x v="0"/>
    <x v="0"/>
    <x v="7"/>
    <n v="3"/>
    <n v="700"/>
    <n v="1100"/>
    <n v="3300"/>
    <n v="2100"/>
    <n v="1200"/>
    <n v="0.36363636363636365"/>
    <x v="4"/>
  </r>
  <r>
    <x v="45"/>
    <n v="57"/>
    <x v="0"/>
    <x v="0"/>
    <x v="2"/>
    <x v="0"/>
    <x v="3"/>
    <x v="17"/>
    <n v="1"/>
    <n v="500"/>
    <n v="800"/>
    <n v="800"/>
    <n v="500"/>
    <n v="300"/>
    <n v="0.375"/>
    <x v="4"/>
  </r>
  <r>
    <x v="37"/>
    <n v="57"/>
    <x v="0"/>
    <x v="0"/>
    <x v="0"/>
    <x v="0"/>
    <x v="3"/>
    <x v="33"/>
    <n v="1"/>
    <n v="500"/>
    <n v="800"/>
    <n v="800"/>
    <n v="500"/>
    <n v="300"/>
    <n v="0.375"/>
    <x v="4"/>
  </r>
  <r>
    <x v="8"/>
    <n v="57"/>
    <x v="0"/>
    <x v="2"/>
    <x v="7"/>
    <x v="0"/>
    <x v="1"/>
    <x v="8"/>
    <n v="1"/>
    <n v="580"/>
    <n v="920"/>
    <n v="920"/>
    <n v="580"/>
    <n v="340"/>
    <n v="0.36956521739130432"/>
    <x v="4"/>
  </r>
  <r>
    <x v="77"/>
    <n v="57"/>
    <x v="0"/>
    <x v="0"/>
    <x v="1"/>
    <x v="0"/>
    <x v="1"/>
    <x v="30"/>
    <n v="1"/>
    <n v="900"/>
    <n v="1400"/>
    <n v="1400"/>
    <n v="900"/>
    <n v="500"/>
    <n v="0.35714285714285715"/>
    <x v="4"/>
  </r>
  <r>
    <x v="9"/>
    <n v="57"/>
    <x v="1"/>
    <x v="0"/>
    <x v="1"/>
    <x v="0"/>
    <x v="3"/>
    <x v="38"/>
    <n v="1"/>
    <n v="530"/>
    <n v="840"/>
    <n v="840"/>
    <n v="530"/>
    <n v="310"/>
    <n v="0.36904761904761907"/>
    <x v="4"/>
  </r>
  <r>
    <x v="79"/>
    <n v="57"/>
    <x v="0"/>
    <x v="0"/>
    <x v="2"/>
    <x v="1"/>
    <x v="0"/>
    <x v="15"/>
    <n v="4"/>
    <n v="550"/>
    <n v="850"/>
    <n v="3400"/>
    <n v="2200"/>
    <n v="1200"/>
    <n v="0.35294117647058826"/>
    <x v="4"/>
  </r>
  <r>
    <x v="27"/>
    <n v="57"/>
    <x v="1"/>
    <x v="0"/>
    <x v="2"/>
    <x v="0"/>
    <x v="1"/>
    <x v="30"/>
    <n v="1"/>
    <n v="900"/>
    <n v="1400"/>
    <n v="1400"/>
    <n v="900"/>
    <n v="500"/>
    <n v="0.35714285714285715"/>
    <x v="4"/>
  </r>
  <r>
    <x v="91"/>
    <n v="58"/>
    <x v="1"/>
    <x v="2"/>
    <x v="9"/>
    <x v="0"/>
    <x v="0"/>
    <x v="10"/>
    <n v="1"/>
    <n v="580"/>
    <n v="920"/>
    <n v="920"/>
    <n v="580"/>
    <n v="340"/>
    <n v="0.36956521739130432"/>
    <x v="4"/>
  </r>
  <r>
    <x v="32"/>
    <n v="59"/>
    <x v="1"/>
    <x v="5"/>
    <x v="16"/>
    <x v="0"/>
    <x v="1"/>
    <x v="32"/>
    <n v="2"/>
    <n v="580"/>
    <n v="920"/>
    <n v="1840"/>
    <n v="1160"/>
    <n v="680"/>
    <n v="0.36956521739130432"/>
    <x v="4"/>
  </r>
  <r>
    <x v="57"/>
    <n v="59"/>
    <x v="1"/>
    <x v="5"/>
    <x v="16"/>
    <x v="0"/>
    <x v="1"/>
    <x v="32"/>
    <n v="4"/>
    <n v="580"/>
    <n v="920"/>
    <n v="3680"/>
    <n v="2320"/>
    <n v="1360"/>
    <n v="0.36956521739130432"/>
    <x v="4"/>
  </r>
  <r>
    <x v="55"/>
    <n v="60"/>
    <x v="0"/>
    <x v="2"/>
    <x v="7"/>
    <x v="0"/>
    <x v="1"/>
    <x v="16"/>
    <n v="1"/>
    <n v="900"/>
    <n v="1400"/>
    <n v="1400"/>
    <n v="900"/>
    <n v="500"/>
    <n v="0.35714285714285715"/>
    <x v="4"/>
  </r>
  <r>
    <x v="8"/>
    <n v="60"/>
    <x v="1"/>
    <x v="2"/>
    <x v="7"/>
    <x v="0"/>
    <x v="3"/>
    <x v="35"/>
    <n v="4"/>
    <n v="500"/>
    <n v="800"/>
    <n v="3200"/>
    <n v="2000"/>
    <n v="1200"/>
    <n v="0.375"/>
    <x v="4"/>
  </r>
  <r>
    <x v="77"/>
    <n v="60"/>
    <x v="0"/>
    <x v="2"/>
    <x v="7"/>
    <x v="0"/>
    <x v="1"/>
    <x v="16"/>
    <n v="4"/>
    <n v="900"/>
    <n v="1400"/>
    <n v="5600"/>
    <n v="3600"/>
    <n v="2000"/>
    <n v="0.35714285714285715"/>
    <x v="4"/>
  </r>
  <r>
    <x v="69"/>
    <n v="61"/>
    <x v="0"/>
    <x v="2"/>
    <x v="5"/>
    <x v="0"/>
    <x v="0"/>
    <x v="24"/>
    <n v="1"/>
    <n v="580"/>
    <n v="920"/>
    <n v="920"/>
    <n v="580"/>
    <n v="340"/>
    <n v="0.36956521739130432"/>
    <x v="4"/>
  </r>
  <r>
    <x v="43"/>
    <n v="61"/>
    <x v="1"/>
    <x v="2"/>
    <x v="7"/>
    <x v="0"/>
    <x v="1"/>
    <x v="30"/>
    <n v="2"/>
    <n v="900"/>
    <n v="1400"/>
    <n v="2800"/>
    <n v="1800"/>
    <n v="1000"/>
    <n v="0.35714285714285715"/>
    <x v="4"/>
  </r>
  <r>
    <x v="6"/>
    <n v="61"/>
    <x v="1"/>
    <x v="2"/>
    <x v="7"/>
    <x v="0"/>
    <x v="1"/>
    <x v="30"/>
    <n v="1"/>
    <n v="900"/>
    <n v="1400"/>
    <n v="1400"/>
    <n v="900"/>
    <n v="500"/>
    <n v="0.35714285714285715"/>
    <x v="4"/>
  </r>
  <r>
    <x v="72"/>
    <n v="62"/>
    <x v="0"/>
    <x v="2"/>
    <x v="7"/>
    <x v="0"/>
    <x v="1"/>
    <x v="4"/>
    <n v="1"/>
    <n v="900"/>
    <n v="1400"/>
    <n v="1400"/>
    <n v="900"/>
    <n v="500"/>
    <n v="0.35714285714285715"/>
    <x v="4"/>
  </r>
  <r>
    <x v="61"/>
    <n v="63"/>
    <x v="1"/>
    <x v="2"/>
    <x v="7"/>
    <x v="0"/>
    <x v="0"/>
    <x v="28"/>
    <n v="4"/>
    <n v="580"/>
    <n v="920"/>
    <n v="3680"/>
    <n v="2320"/>
    <n v="1360"/>
    <n v="0.36956521739130432"/>
    <x v="4"/>
  </r>
  <r>
    <x v="9"/>
    <n v="63"/>
    <x v="1"/>
    <x v="0"/>
    <x v="2"/>
    <x v="1"/>
    <x v="0"/>
    <x v="15"/>
    <n v="4"/>
    <n v="550"/>
    <n v="850"/>
    <n v="3400"/>
    <n v="2200"/>
    <n v="1200"/>
    <n v="0.35294117647058826"/>
    <x v="4"/>
  </r>
  <r>
    <x v="78"/>
    <n v="69"/>
    <x v="0"/>
    <x v="0"/>
    <x v="2"/>
    <x v="0"/>
    <x v="1"/>
    <x v="8"/>
    <n v="1"/>
    <n v="580"/>
    <n v="920"/>
    <n v="920"/>
    <n v="580"/>
    <n v="340"/>
    <n v="0.36956521739130432"/>
    <x v="4"/>
  </r>
  <r>
    <x v="70"/>
    <n v="75"/>
    <x v="0"/>
    <x v="5"/>
    <x v="16"/>
    <x v="0"/>
    <x v="0"/>
    <x v="24"/>
    <n v="2"/>
    <n v="580"/>
    <n v="920"/>
    <n v="1840"/>
    <n v="1160"/>
    <n v="680"/>
    <n v="0.3695652173913043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541AB8-9D21-4C54-BB3D-7DE6AF49EDC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41:J47"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showAll="0"/>
    <pivotField showAll="0"/>
    <pivotField showAll="0">
      <items count="3">
        <item x="1"/>
        <item x="0"/>
        <item t="default"/>
      </items>
    </pivotField>
    <pivotField showAll="0"/>
    <pivotField showAll="0"/>
    <pivotField numFmtId="1" showAll="0"/>
    <pivotField showAll="0"/>
    <pivotField showAll="0"/>
    <pivotField numFmtId="164" showAll="0"/>
    <pivotField dataField="1" numFmtId="164" showAll="0"/>
    <pivotField numFmtId="164" showAll="0"/>
    <pivotField numFmtId="165" showAll="0"/>
    <pivotField axis="axisRow" showAll="0">
      <items count="6">
        <item x="1"/>
        <item x="2"/>
        <item x="3"/>
        <item x="4"/>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i>
    <i>
      <x v="1"/>
    </i>
    <i>
      <x v="2"/>
    </i>
    <i>
      <x v="3"/>
    </i>
    <i>
      <x v="4"/>
    </i>
    <i t="grand">
      <x/>
    </i>
  </rowItems>
  <colItems count="1">
    <i/>
  </colItems>
  <dataFields count="1">
    <dataField name="Sum of Total_Cost" fld="12" baseField="0" baseItem="0" numFmtId="44"/>
  </dataFields>
  <formats count="6">
    <format dxfId="0">
      <pivotArea type="all" dataOnly="0" outline="0" fieldPosition="0"/>
    </format>
    <format dxfId="1">
      <pivotArea outline="0" collapsedLevelsAreSubtotals="1" fieldPosition="0"/>
    </format>
    <format dxfId="2">
      <pivotArea field="15" type="button" dataOnly="0" labelOnly="1" outline="0" axis="axisRow" fieldPosition="0"/>
    </format>
    <format dxfId="3">
      <pivotArea dataOnly="0" labelOnly="1" fieldPosition="0">
        <references count="1">
          <reference field="15" count="0"/>
        </references>
      </pivotArea>
    </format>
    <format dxfId="4">
      <pivotArea dataOnly="0" labelOnly="1" grandRow="1" outline="0" fieldPosition="0"/>
    </format>
    <format dxfId="5">
      <pivotArea dataOnly="0" labelOnly="1" outline="0" axis="axisValues" fieldPosition="0"/>
    </format>
  </formats>
  <chartFormats count="7">
    <chartFormat chart="6" format="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5" count="1" selected="0">
            <x v="0"/>
          </reference>
        </references>
      </pivotArea>
    </chartFormat>
    <chartFormat chart="9" format="15">
      <pivotArea type="data" outline="0" fieldPosition="0">
        <references count="2">
          <reference field="4294967294" count="1" selected="0">
            <x v="0"/>
          </reference>
          <reference field="15" count="1" selected="0">
            <x v="1"/>
          </reference>
        </references>
      </pivotArea>
    </chartFormat>
    <chartFormat chart="9" format="16">
      <pivotArea type="data" outline="0" fieldPosition="0">
        <references count="2">
          <reference field="4294967294" count="1" selected="0">
            <x v="0"/>
          </reference>
          <reference field="15" count="1" selected="0">
            <x v="2"/>
          </reference>
        </references>
      </pivotArea>
    </chartFormat>
    <chartFormat chart="9" format="17">
      <pivotArea type="data" outline="0" fieldPosition="0">
        <references count="2">
          <reference field="4294967294" count="1" selected="0">
            <x v="0"/>
          </reference>
          <reference field="15" count="1" selected="0">
            <x v="3"/>
          </reference>
        </references>
      </pivotArea>
    </chartFormat>
    <chartFormat chart="9" format="18">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4F6994-3CE7-4E5F-A2F7-912DDCA9A32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9:O37" firstHeaderRow="1" firstDataRow="2"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axis="axisRow"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dataField="1" numFmtId="164" showAll="0"/>
    <pivotField numFmtId="164" showAll="0"/>
    <pivotField numFmtId="164" showAll="0"/>
    <pivotField numFmtId="165" showAll="0"/>
    <pivotField axis="axisCol" showAll="0">
      <items count="6">
        <item x="1"/>
        <item x="2"/>
        <item x="3"/>
        <item x="4"/>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Fields count="1">
    <field x="15"/>
  </colFields>
  <colItems count="6">
    <i>
      <x/>
    </i>
    <i>
      <x v="1"/>
    </i>
    <i>
      <x v="2"/>
    </i>
    <i>
      <x v="3"/>
    </i>
    <i>
      <x v="4"/>
    </i>
    <i t="grand">
      <x/>
    </i>
  </colItems>
  <dataFields count="1">
    <dataField name="Sum of Revenue" fld="11" baseField="0" baseItem="0" numFmtId="44"/>
  </dataFields>
  <formats count="2">
    <format dxfId="6">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3E9A91-3837-4951-B8DC-A0FABFE5810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S6" firstHeaderRow="0"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pivotField showAll="0"/>
    <pivotField showAll="0">
      <items count="3">
        <item x="1"/>
        <item x="0"/>
        <item t="default"/>
      </items>
    </pivotField>
    <pivotField showAll="0"/>
    <pivotField showAll="0"/>
    <pivotField dataField="1" numFmtId="1" showAll="0"/>
    <pivotField showAll="0"/>
    <pivotField showAll="0"/>
    <pivotField dataField="1" numFmtId="164" showAll="0"/>
    <pivotField dataField="1" numFmtId="164" showAll="0"/>
    <pivotField dataField="1" numFmtId="164" showAll="0"/>
    <pivotField dataField="1"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0"/>
    </i>
    <i>
      <x v="11"/>
    </i>
    <i>
      <x v="12"/>
    </i>
    <i t="grand">
      <x/>
    </i>
  </rowItems>
  <colFields count="1">
    <field x="-2"/>
  </colFields>
  <colItems count="5">
    <i>
      <x/>
    </i>
    <i i="1">
      <x v="1"/>
    </i>
    <i i="2">
      <x v="2"/>
    </i>
    <i i="3">
      <x v="3"/>
    </i>
    <i i="4">
      <x v="4"/>
    </i>
  </colItems>
  <dataFields count="5">
    <dataField name="Sum of Profit" fld="13" baseField="0" baseItem="0"/>
    <dataField name="Sum of Revenue" fld="11" baseField="0" baseItem="0" numFmtId="44"/>
    <dataField name="Sum of Total_Cost" fld="12" baseField="0" baseItem="0"/>
    <dataField name="Average of Profit_Margin_%" fld="14" subtotal="average" baseField="17" baseItem="10" numFmtId="9"/>
    <dataField name="Count of Order_Quantity" fld="8" subtotal="count" baseField="17" baseItem="10" numFmtId="166"/>
  </dataFields>
  <formats count="4">
    <format dxfId="8">
      <pivotArea outline="0" collapsedLevelsAreSubtotals="1" fieldPosition="0"/>
    </format>
    <format dxfId="9">
      <pivotArea dataOnly="0" labelOnly="1" outline="0" axis="axisValues" fieldPosition="0"/>
    </format>
    <format dxfId="10">
      <pivotArea outline="0" collapsedLevelsAreSubtotals="1" fieldPosition="0">
        <references count="1">
          <reference field="4294967294" count="1" selected="0">
            <x v="4"/>
          </reference>
        </references>
      </pivotArea>
    </format>
    <format dxfId="1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1BBD0D-8491-4023-AED0-090E2D006D1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9:O13"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pivotField showAll="0"/>
    <pivotField showAll="0">
      <items count="3">
        <item x="1"/>
        <item x="0"/>
        <item t="default"/>
      </items>
    </pivotField>
    <pivotField showAll="0"/>
    <pivotField showAll="0"/>
    <pivotField numFmtId="1" showAll="0"/>
    <pivotField showAll="0"/>
    <pivotField showAll="0"/>
    <pivotField numFmtId="164" showAll="0"/>
    <pivotField numFmtId="164" showAll="0"/>
    <pivotField dataField="1"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0"/>
    </i>
    <i>
      <x v="11"/>
    </i>
    <i>
      <x v="12"/>
    </i>
    <i t="grand">
      <x/>
    </i>
  </rowItems>
  <colItems count="1">
    <i/>
  </colItems>
  <dataFields count="1">
    <dataField name="Sum of Profit" fld="13" baseField="0" baseItem="0"/>
  </dataFields>
  <formats count="2">
    <format dxfId="12">
      <pivotArea outline="0" collapsedLevelsAreSubtotals="1" fieldPosition="0"/>
    </format>
    <format dxfId="13">
      <pivotArea dataOnly="0" labelOnly="1" outline="0" axis="axisValues"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3EA4E2-8657-442B-9251-A4F4687EC0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3:C40"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axis="axisRow"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numFmtId="164" showAll="0"/>
    <pivotField numFmtId="164" showAll="0"/>
    <pivotField dataField="1"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Sum of Profit" fld="13" baseField="0" baseItem="0"/>
  </dataFields>
  <formats count="2">
    <format dxfId="14">
      <pivotArea outline="0" collapsedLevelsAreSubtotals="1" fieldPosition="0"/>
    </format>
    <format dxfId="15">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656F12-8BB1-421E-8604-3CBD1715E1C5}"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5:O19"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pivotField showAll="0"/>
    <pivotField showAll="0">
      <items count="3">
        <item x="1"/>
        <item x="0"/>
        <item t="default"/>
      </items>
    </pivotField>
    <pivotField showAll="0"/>
    <pivotField showAll="0"/>
    <pivotField numFmtId="1" showAll="0"/>
    <pivotField showAll="0"/>
    <pivotField showAll="0"/>
    <pivotField numFmtId="164" showAll="0"/>
    <pivotField numFmtId="164" showAll="0"/>
    <pivotField numFmtId="164" showAll="0"/>
    <pivotField dataField="1"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0"/>
    </i>
    <i>
      <x v="11"/>
    </i>
    <i>
      <x v="12"/>
    </i>
    <i t="grand">
      <x/>
    </i>
  </rowItems>
  <colItems count="1">
    <i/>
  </colItems>
  <dataFields count="1">
    <dataField name="Average of Profit_Margin_%" fld="14" subtotal="average" baseField="17" baseItem="10" numFmtId="9"/>
  </dataFields>
  <formats count="6">
    <format dxfId="16">
      <pivotArea type="all" dataOnly="0" outline="0" fieldPosition="0"/>
    </format>
    <format dxfId="17">
      <pivotArea outline="0" collapsedLevelsAreSubtotals="1" fieldPosition="0"/>
    </format>
    <format dxfId="18">
      <pivotArea field="17" type="button" dataOnly="0" labelOnly="1" outline="0" axis="axisRow" fieldPosition="0"/>
    </format>
    <format dxfId="19">
      <pivotArea dataOnly="0" labelOnly="1" fieldPosition="0">
        <references count="1">
          <reference field="17" count="3">
            <x v="10"/>
            <x v="11"/>
            <x v="12"/>
          </reference>
        </references>
      </pivotArea>
    </format>
    <format dxfId="20">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774FD7-8DA9-4FF6-9796-AAEA6955F97E}"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2:M49"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axis="axisRow"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dataField="1"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Sum of Revenue" fld="11" baseField="0" baseItem="0" numFmtId="44"/>
  </dataFields>
  <formats count="2">
    <format dxfId="22">
      <pivotArea outline="0" collapsedLevelsAreSubtotals="1" fieldPosition="0"/>
    </format>
    <format dxfId="23">
      <pivotArea dataOnly="0" labelOnly="1" outline="0" axis="axisValues" fieldPosition="0"/>
    </format>
  </format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987163-D29F-4E56-A043-FD263D41CB8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5:G53" firstHeaderRow="1" firstDataRow="2"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axis="axisRow" showAll="0">
      <items count="7">
        <item x="0"/>
        <item x="4"/>
        <item x="1"/>
        <item x="3"/>
        <item x="5"/>
        <item x="2"/>
        <item t="default"/>
      </items>
    </pivotField>
    <pivotField showAll="0"/>
    <pivotField showAll="0">
      <items count="3">
        <item x="1"/>
        <item x="0"/>
        <item t="default"/>
      </items>
    </pivotField>
    <pivotField axis="axisCol" showAll="0">
      <items count="5">
        <item x="0"/>
        <item x="1"/>
        <item x="2"/>
        <item x="3"/>
        <item t="default"/>
      </items>
    </pivotField>
    <pivotField showAll="0"/>
    <pivotField numFmtId="1" showAll="0"/>
    <pivotField showAll="0"/>
    <pivotField showAll="0"/>
    <pivotField dataField="1"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Fields count="1">
    <field x="6"/>
  </colFields>
  <colItems count="5">
    <i>
      <x/>
    </i>
    <i>
      <x v="1"/>
    </i>
    <i>
      <x v="2"/>
    </i>
    <i>
      <x v="3"/>
    </i>
    <i t="grand">
      <x/>
    </i>
  </colItems>
  <dataFields count="1">
    <dataField name="Sum of Revenue" fld="11" baseField="0" baseItem="0" numFmtId="44"/>
  </dataFields>
  <formats count="2">
    <format dxfId="24">
      <pivotArea outline="0" collapsedLevelsAreSubtotals="1" fieldPosition="0"/>
    </format>
    <format dxfId="25">
      <pivotArea dataOnly="0" labelOnly="1" outline="0" axis="axisValues" fieldPosition="0"/>
    </format>
  </formats>
  <chartFormats count="4">
    <chartFormat chart="6" format="12" series="1">
      <pivotArea type="data" outline="0" fieldPosition="0">
        <references count="2">
          <reference field="4294967294" count="1" selected="0">
            <x v="0"/>
          </reference>
          <reference field="6" count="1" selected="0">
            <x v="0"/>
          </reference>
        </references>
      </pivotArea>
    </chartFormat>
    <chartFormat chart="6" format="13" series="1">
      <pivotArea type="data" outline="0" fieldPosition="0">
        <references count="2">
          <reference field="4294967294" count="1" selected="0">
            <x v="0"/>
          </reference>
          <reference field="6" count="1" selected="0">
            <x v="1"/>
          </reference>
        </references>
      </pivotArea>
    </chartFormat>
    <chartFormat chart="6" format="14" series="1">
      <pivotArea type="data" outline="0" fieldPosition="0">
        <references count="2">
          <reference field="4294967294" count="1" selected="0">
            <x v="0"/>
          </reference>
          <reference field="6" count="1" selected="0">
            <x v="2"/>
          </reference>
        </references>
      </pivotArea>
    </chartFormat>
    <chartFormat chart="6" format="15"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83F68E-9F04-4E66-8113-0524E325B9F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2:L19" firstHeaderRow="1" firstDataRow="2"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showAll="0"/>
    <pivotField showAll="0"/>
    <pivotField axis="axisCol" showAll="0">
      <items count="3">
        <item x="1"/>
        <item x="0"/>
        <item t="default"/>
      </items>
    </pivotField>
    <pivotField dataField="1" showAll="0"/>
    <pivotField showAll="0"/>
    <pivotField numFmtId="1" showAll="0"/>
    <pivotField showAll="0"/>
    <pivotField showAll="0"/>
    <pivotField numFmtId="164" showAll="0"/>
    <pivotField numFmtId="164" showAll="0"/>
    <pivotField numFmtId="164" showAll="0"/>
    <pivotField numFmtId="165" showAll="0"/>
    <pivotField axis="axisRow" showAll="0">
      <items count="6">
        <item x="1"/>
        <item x="2"/>
        <item x="3"/>
        <item x="4"/>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i>
    <i>
      <x v="1"/>
    </i>
    <i>
      <x v="2"/>
    </i>
    <i>
      <x v="3"/>
    </i>
    <i>
      <x v="4"/>
    </i>
    <i t="grand">
      <x/>
    </i>
  </rowItems>
  <colFields count="1">
    <field x="5"/>
  </colFields>
  <colItems count="3">
    <i>
      <x/>
    </i>
    <i>
      <x v="1"/>
    </i>
    <i t="grand">
      <x/>
    </i>
  </colItems>
  <dataFields count="1">
    <dataField name="Count of Bike_Color" fld="6" subtotal="count" baseField="0" baseItem="0" numFmtId="166"/>
  </dataFields>
  <formats count="10">
    <format dxfId="26">
      <pivotArea type="all" dataOnly="0" outline="0" fieldPosition="0"/>
    </format>
    <format dxfId="27">
      <pivotArea outline="0" collapsedLevelsAreSubtotals="1" fieldPosition="0"/>
    </format>
    <format dxfId="28">
      <pivotArea type="origin" dataOnly="0" labelOnly="1" outline="0" fieldPosition="0"/>
    </format>
    <format dxfId="29">
      <pivotArea field="5" type="button" dataOnly="0" labelOnly="1" outline="0" axis="axisCol" fieldPosition="0"/>
    </format>
    <format dxfId="30">
      <pivotArea type="topRight" dataOnly="0" labelOnly="1" outline="0" fieldPosition="0"/>
    </format>
    <format dxfId="31">
      <pivotArea field="15" type="button" dataOnly="0" labelOnly="1" outline="0" axis="axisRow" fieldPosition="0"/>
    </format>
    <format dxfId="32">
      <pivotArea dataOnly="0" labelOnly="1" fieldPosition="0">
        <references count="1">
          <reference field="15" count="0"/>
        </references>
      </pivotArea>
    </format>
    <format dxfId="33">
      <pivotArea dataOnly="0" labelOnly="1" grandRow="1" outline="0" fieldPosition="0"/>
    </format>
    <format dxfId="34">
      <pivotArea dataOnly="0" labelOnly="1" fieldPosition="0">
        <references count="1">
          <reference field="5" count="0"/>
        </references>
      </pivotArea>
    </format>
    <format dxfId="35">
      <pivotArea dataOnly="0" labelOnly="1" grandCol="1" outline="0" fieldPosition="0"/>
    </format>
  </formats>
  <chartFormats count="2">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A300FC-AF2D-4334-993B-AB2BD9129D7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4:G17" firstHeaderRow="0"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axis="axisRow" showAll="0">
      <items count="3">
        <item x="1"/>
        <item x="0"/>
        <item t="default"/>
      </items>
    </pivotField>
    <pivotField showAll="0"/>
    <pivotField showAll="0"/>
    <pivotField showAll="0">
      <items count="3">
        <item x="1"/>
        <item x="0"/>
        <item t="default"/>
      </items>
    </pivotField>
    <pivotField showAll="0"/>
    <pivotField showAll="0"/>
    <pivotField dataField="1" numFmtId="1" showAll="0"/>
    <pivotField showAll="0"/>
    <pivotField showAll="0"/>
    <pivotField dataField="1"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Fields count="1">
    <field x="-2"/>
  </colFields>
  <colItems count="2">
    <i>
      <x/>
    </i>
    <i i="1">
      <x v="1"/>
    </i>
  </colItems>
  <dataFields count="2">
    <dataField name="Sum of Revenue" fld="11" baseField="0" baseItem="0" numFmtId="44"/>
    <dataField name="Count of Order_Quantity" fld="8" subtotal="count" baseField="2" baseItem="0" numFmtId="166"/>
  </dataFields>
  <formats count="3">
    <format dxfId="36">
      <pivotArea outline="0" collapsedLevelsAreSubtotals="1" fieldPosition="0"/>
    </format>
    <format dxfId="37">
      <pivotArea dataOnly="0" labelOnly="1" outline="0" axis="axisValues" fieldPosition="0"/>
    </format>
    <format dxfId="38">
      <pivotArea outline="0" collapsedLevelsAreSubtotals="1" fieldPosition="0">
        <references count="1">
          <reference field="4294967294" count="1" selected="0">
            <x v="1"/>
          </reference>
        </references>
      </pivotArea>
    </format>
  </formats>
  <chartFormats count="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5FAB9E-80A2-40CD-8721-C5AFF1CAD0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C30"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showAll="0"/>
    <pivotField showAll="0"/>
    <pivotField showAll="0">
      <items count="3">
        <item x="1"/>
        <item x="0"/>
        <item t="default"/>
      </items>
    </pivotField>
    <pivotField showAll="0"/>
    <pivotField showAll="0"/>
    <pivotField numFmtId="1" showAll="0"/>
    <pivotField showAll="0"/>
    <pivotField showAll="0"/>
    <pivotField numFmtId="164" showAll="0"/>
    <pivotField numFmtId="164" showAll="0"/>
    <pivotField numFmtId="164" showAll="0"/>
    <pivotField dataField="1" numFmtId="165" showAll="0"/>
    <pivotField axis="axisRow" showAll="0">
      <items count="6">
        <item x="1"/>
        <item x="2"/>
        <item x="3"/>
        <item x="4"/>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i>
    <i>
      <x v="1"/>
    </i>
    <i>
      <x v="2"/>
    </i>
    <i>
      <x v="3"/>
    </i>
    <i>
      <x v="4"/>
    </i>
    <i t="grand">
      <x/>
    </i>
  </rowItems>
  <colItems count="1">
    <i/>
  </colItems>
  <dataFields count="1">
    <dataField name="Average of Profit_Margin_%" fld="14" subtotal="average" baseField="15" baseItem="0" numFmtId="10"/>
  </dataFields>
  <formats count="2">
    <format dxfId="39">
      <pivotArea outline="0" collapsedLevelsAreSubtotals="1"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59F443-BF62-4591-AB01-6479C2E788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L9" firstHeaderRow="1" firstDataRow="2"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items count="3">
        <item x="1"/>
        <item x="0"/>
        <item t="default"/>
      </items>
    </pivotField>
    <pivotField showAll="0"/>
    <pivotField showAll="0"/>
    <pivotField axis="axisCol" showAll="0">
      <items count="3">
        <item x="1"/>
        <item x="0"/>
        <item t="default"/>
      </items>
    </pivotField>
    <pivotField showAll="0"/>
    <pivotField showAll="0"/>
    <pivotField numFmtId="1" showAll="0"/>
    <pivotField showAll="0"/>
    <pivotField showAll="0"/>
    <pivotField dataField="1" numFmtId="164" showAll="0"/>
    <pivotField numFmtId="164" showAll="0"/>
    <pivotField numFmtId="164" showAll="0"/>
    <pivotField numFmtId="165" showAll="0"/>
    <pivotField axis="axisRow" showAll="0">
      <items count="6">
        <item x="1"/>
        <item x="2"/>
        <item x="3"/>
        <item x="4"/>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i>
    <i>
      <x v="1"/>
    </i>
    <i>
      <x v="2"/>
    </i>
    <i>
      <x v="3"/>
    </i>
    <i>
      <x v="4"/>
    </i>
    <i t="grand">
      <x/>
    </i>
  </rowItems>
  <colFields count="1">
    <field x="5"/>
  </colFields>
  <colItems count="3">
    <i>
      <x/>
    </i>
    <i>
      <x v="1"/>
    </i>
    <i t="grand">
      <x/>
    </i>
  </colItems>
  <dataFields count="1">
    <dataField name="Sum of Revenue" fld="11" baseField="0" baseItem="0"/>
  </dataFields>
  <formats count="2">
    <format dxfId="41">
      <pivotArea outline="0" collapsedLevelsAreSubtotals="1"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67431B-0209-4F0D-8CA7-4BBBD9C826D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9:R13"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pivotField showAll="0"/>
    <pivotField showAll="0">
      <items count="3">
        <item x="1"/>
        <item x="0"/>
        <item t="default"/>
      </items>
    </pivotField>
    <pivotField showAll="0"/>
    <pivotField showAll="0"/>
    <pivotField numFmtId="1" showAll="0"/>
    <pivotField showAll="0"/>
    <pivotField showAll="0"/>
    <pivotField numFmtId="164" showAll="0"/>
    <pivotField dataField="1"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0"/>
    </i>
    <i>
      <x v="11"/>
    </i>
    <i>
      <x v="12"/>
    </i>
    <i t="grand">
      <x/>
    </i>
  </rowItems>
  <colItems count="1">
    <i/>
  </colItems>
  <dataFields count="1">
    <dataField name="Sum of Total_Cost" fld="12" baseField="0" baseItem="0"/>
  </dataFields>
  <formats count="2">
    <format dxfId="43">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E25DAA-924A-454F-903A-35ECF0FF73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0:G38" firstHeaderRow="0"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items count="7">
        <item x="0"/>
        <item x="4"/>
        <item x="1"/>
        <item x="3"/>
        <item x="5"/>
        <item x="2"/>
        <item t="default"/>
      </items>
    </pivotField>
    <pivotField showAll="0"/>
    <pivotField axis="axisRow" showAll="0">
      <items count="3">
        <item x="1"/>
        <item x="0"/>
        <item t="default"/>
      </items>
    </pivotField>
    <pivotField axis="axisRow" showAll="0">
      <items count="5">
        <item x="0"/>
        <item x="1"/>
        <item x="2"/>
        <item x="3"/>
        <item t="default"/>
      </items>
    </pivotField>
    <pivotField showAll="0"/>
    <pivotField dataField="1" numFmtId="1" showAll="0"/>
    <pivotField showAll="0"/>
    <pivotField showAll="0"/>
    <pivotField numFmtId="164" showAll="0"/>
    <pivotField numFmtId="164" showAll="0"/>
    <pivotField numFmtId="164" showAll="0"/>
    <pivotField dataField="1"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6"/>
  </rowFields>
  <rowItems count="8">
    <i>
      <x/>
    </i>
    <i r="1">
      <x/>
    </i>
    <i r="1">
      <x v="2"/>
    </i>
    <i>
      <x v="1"/>
    </i>
    <i r="1">
      <x/>
    </i>
    <i r="1">
      <x v="1"/>
    </i>
    <i r="1">
      <x v="3"/>
    </i>
    <i t="grand">
      <x/>
    </i>
  </rowItems>
  <colFields count="1">
    <field x="-2"/>
  </colFields>
  <colItems count="2">
    <i>
      <x/>
    </i>
    <i i="1">
      <x v="1"/>
    </i>
  </colItems>
  <dataFields count="2">
    <dataField name="Sum of Order_Quantity" fld="8" baseField="0" baseItem="0" numFmtId="166"/>
    <dataField name="Average of Profit_Margin_%" fld="14" subtotal="average" baseField="5" baseItem="0" numFmtId="9"/>
  </dataFields>
  <formats count="8">
    <format dxfId="45">
      <pivotArea type="all" dataOnly="0" outline="0" fieldPosition="0"/>
    </format>
    <format dxfId="46">
      <pivotArea outline="0" collapsedLevelsAreSubtotals="1" fieldPosition="0"/>
    </format>
    <format dxfId="47">
      <pivotArea field="5" type="button" dataOnly="0" labelOnly="1" outline="0" axis="axisRow" fieldPosition="0"/>
    </format>
    <format dxfId="48">
      <pivotArea dataOnly="0" labelOnly="1" fieldPosition="0">
        <references count="1">
          <reference field="5" count="0"/>
        </references>
      </pivotArea>
    </format>
    <format dxfId="49">
      <pivotArea dataOnly="0" labelOnly="1" grandRow="1" outline="0" fieldPosition="0"/>
    </format>
    <format dxfId="50">
      <pivotArea dataOnly="0" labelOnly="1" outline="0" axis="axisValues" fieldPosition="0"/>
    </format>
    <format dxfId="51">
      <pivotArea outline="0" collapsedLevelsAreSubtotals="1" fieldPosition="0">
        <references count="1">
          <reference field="4294967294" count="1" selected="0">
            <x v="1"/>
          </reference>
        </references>
      </pivotArea>
    </format>
    <format dxfId="5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5B93909-70C4-4539-A77F-F416CAC381AB}"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52:P53" firstHeaderRow="0" firstDataRow="1" firstDataCol="0"/>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items count="7">
        <item x="0"/>
        <item x="4"/>
        <item x="1"/>
        <item x="3"/>
        <item x="5"/>
        <item x="2"/>
        <item t="default"/>
      </items>
    </pivotField>
    <pivotField showAll="0"/>
    <pivotField showAll="0">
      <items count="3">
        <item x="1"/>
        <item x="0"/>
        <item t="default"/>
      </items>
    </pivotField>
    <pivotField showAll="0"/>
    <pivotField showAll="0"/>
    <pivotField dataField="1" numFmtId="1" showAll="0"/>
    <pivotField showAll="0"/>
    <pivotField showAll="0"/>
    <pivotField dataField="1" numFmtId="164" showAll="0"/>
    <pivotField dataField="1" numFmtId="164" showAll="0"/>
    <pivotField dataField="1" numFmtId="164" showAll="0"/>
    <pivotField dataField="1"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5">
    <i>
      <x/>
    </i>
    <i i="1">
      <x v="1"/>
    </i>
    <i i="2">
      <x v="2"/>
    </i>
    <i i="3">
      <x v="3"/>
    </i>
    <i i="4">
      <x v="4"/>
    </i>
  </colItems>
  <dataFields count="5">
    <dataField name="Sum of Revenue" fld="11" baseField="0" baseItem="0" numFmtId="44"/>
    <dataField name="Sum of Total_Cost" fld="12" baseField="0" baseItem="0"/>
    <dataField name="Sum of Profit" fld="13" baseField="0" baseItem="0"/>
    <dataField name="Average of Profit_Margin_%" fld="14" subtotal="average" baseField="0" baseItem="1" numFmtId="9"/>
    <dataField name="Count of Order_Quantity" fld="8" subtotal="count" baseField="0" baseItem="4" numFmtId="166"/>
  </dataFields>
  <formats count="4">
    <format dxfId="53">
      <pivotArea outline="0" collapsedLevelsAreSubtotals="1" fieldPosition="0"/>
    </format>
    <format dxfId="54">
      <pivotArea dataOnly="0" labelOnly="1" outline="0" axis="axisValues" fieldPosition="0"/>
    </format>
    <format dxfId="55">
      <pivotArea outline="0" collapsedLevelsAreSubtotals="1" fieldPosition="0">
        <references count="1">
          <reference field="4294967294" count="1" selected="0">
            <x v="3"/>
          </reference>
        </references>
      </pivotArea>
    </format>
    <format dxfId="56">
      <pivotArea outline="0" collapsedLevelsAreSubtotals="1" fieldPosition="0">
        <references count="1">
          <reference field="4294967294" count="1" selected="0">
            <x v="4"/>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8BB80F5-AFD7-4B03-BD0C-C13D71EC35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C11"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pivotField showAll="0"/>
    <pivotField axis="axisRow" showAll="0">
      <items count="3">
        <item x="1"/>
        <item x="0"/>
        <item t="default"/>
      </items>
    </pivotField>
    <pivotField showAll="0"/>
    <pivotField showAll="0"/>
    <pivotField numFmtId="1" showAll="0"/>
    <pivotField showAll="0"/>
    <pivotField showAll="0"/>
    <pivotField dataField="1"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Sum of Revenue" fld="11" baseField="0" baseItem="0" numFmtId="44"/>
  </dataFields>
  <formats count="2">
    <format dxfId="57">
      <pivotArea outline="0" collapsedLevelsAreSubtotals="1"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2762A0-A2CF-4361-8780-0ADB4A8DA9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F28"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items count="7">
        <item x="0"/>
        <item x="4"/>
        <item x="1"/>
        <item x="3"/>
        <item x="5"/>
        <item x="2"/>
        <item t="default"/>
      </items>
    </pivotField>
    <pivotField showAll="0"/>
    <pivotField axis="axisRow" showAll="0">
      <items count="3">
        <item x="1"/>
        <item x="0"/>
        <item t="default"/>
      </items>
    </pivotField>
    <pivotField showAll="0"/>
    <pivotField showAll="0"/>
    <pivotField dataField="1" numFmtId="1" showAll="0"/>
    <pivotField showAll="0"/>
    <pivotField showAll="0"/>
    <pivotField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Sum of Order_Quantity" fld="8" baseField="0" baseItem="0" numFmtId="166"/>
  </dataFields>
  <formats count="6">
    <format dxfId="59">
      <pivotArea type="all" dataOnly="0" outline="0" fieldPosition="0"/>
    </format>
    <format dxfId="60">
      <pivotArea outline="0" collapsedLevelsAreSubtotals="1" fieldPosition="0"/>
    </format>
    <format dxfId="61">
      <pivotArea field="5" type="button" dataOnly="0" labelOnly="1" outline="0" axis="axisRow" fieldPosition="0"/>
    </format>
    <format dxfId="62">
      <pivotArea dataOnly="0" labelOnly="1" fieldPosition="0">
        <references count="1">
          <reference field="5" count="0"/>
        </references>
      </pivotArea>
    </format>
    <format dxfId="63">
      <pivotArea dataOnly="0" labelOnly="1" grandRow="1" outline="0"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4E8555-D2DF-4335-9210-5830D400EF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6"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pivotField showAll="0"/>
    <pivotField showAll="0">
      <items count="3">
        <item x="1"/>
        <item x="0"/>
        <item t="default"/>
      </items>
    </pivotField>
    <pivotField showAll="0"/>
    <pivotField showAll="0"/>
    <pivotField numFmtId="1" showAll="0"/>
    <pivotField showAll="0"/>
    <pivotField showAll="0"/>
    <pivotField dataField="1"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0"/>
    </i>
    <i>
      <x v="11"/>
    </i>
    <i>
      <x v="12"/>
    </i>
    <i t="grand">
      <x/>
    </i>
  </rowItems>
  <colItems count="1">
    <i/>
  </colItems>
  <dataFields count="1">
    <dataField name="Sum of Revenue" fld="11" baseField="0" baseItem="0" numFmtId="44"/>
  </dataFields>
  <formats count="2">
    <format dxfId="65">
      <pivotArea outline="0" collapsedLevelsAreSubtotals="1" fieldPosition="0"/>
    </format>
    <format dxfId="66">
      <pivotArea dataOnly="0" labelOnly="1" outline="0" axis="axisValues" fieldPosition="0"/>
    </format>
  </formats>
  <chartFormats count="2">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5C42217-CFD0-437D-A1C1-C8D5CA5C736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G6" firstHeaderRow="0"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pivotField showAll="0"/>
    <pivotField showAll="0">
      <items count="3">
        <item x="1"/>
        <item x="0"/>
        <item t="default"/>
      </items>
    </pivotField>
    <pivotField showAll="0"/>
    <pivotField showAll="0"/>
    <pivotField numFmtId="1" showAll="0"/>
    <pivotField showAll="0"/>
    <pivotField showAll="0"/>
    <pivotField dataField="1" numFmtId="164" showAll="0"/>
    <pivotField numFmtId="164" showAll="0"/>
    <pivotField dataField="1"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0"/>
    </i>
    <i>
      <x v="11"/>
    </i>
    <i>
      <x v="12"/>
    </i>
    <i t="grand">
      <x/>
    </i>
  </rowItems>
  <colFields count="1">
    <field x="-2"/>
  </colFields>
  <colItems count="2">
    <i>
      <x/>
    </i>
    <i i="1">
      <x v="1"/>
    </i>
  </colItems>
  <dataFields count="2">
    <dataField name="Sum of Profit" fld="13" baseField="0" baseItem="0"/>
    <dataField name="Sum of Revenue" fld="11" baseField="0" baseItem="0" numFmtId="44"/>
  </dataFields>
  <formats count="2">
    <format dxfId="67">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097F502-CED9-4D7B-AB81-408DFF4E83F5}"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51:J56"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items count="7">
        <item x="0"/>
        <item x="4"/>
        <item x="1"/>
        <item x="3"/>
        <item x="5"/>
        <item x="2"/>
        <item t="default"/>
      </items>
    </pivotField>
    <pivotField showAll="0">
      <items count="33">
        <item x="6"/>
        <item x="29"/>
        <item x="11"/>
        <item x="7"/>
        <item x="28"/>
        <item x="16"/>
        <item x="21"/>
        <item x="19"/>
        <item x="14"/>
        <item x="23"/>
        <item x="8"/>
        <item x="25"/>
        <item x="26"/>
        <item x="22"/>
        <item x="1"/>
        <item x="4"/>
        <item x="12"/>
        <item x="9"/>
        <item x="20"/>
        <item x="2"/>
        <item x="13"/>
        <item x="15"/>
        <item x="18"/>
        <item x="17"/>
        <item x="24"/>
        <item x="10"/>
        <item x="3"/>
        <item x="31"/>
        <item x="30"/>
        <item x="0"/>
        <item x="5"/>
        <item x="27"/>
        <item t="default"/>
      </items>
    </pivotField>
    <pivotField showAll="0">
      <items count="3">
        <item x="1"/>
        <item x="0"/>
        <item t="default"/>
      </items>
    </pivotField>
    <pivotField axis="axisRow" showAll="0">
      <items count="5">
        <item x="0"/>
        <item x="1"/>
        <item x="2"/>
        <item x="3"/>
        <item t="default"/>
      </items>
    </pivotField>
    <pivotField showAll="0"/>
    <pivotField numFmtId="1" showAll="0"/>
    <pivotField showAll="0"/>
    <pivotField showAll="0"/>
    <pivotField dataField="1"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Items count="1">
    <i/>
  </colItems>
  <dataFields count="1">
    <dataField name="Sum of Revenue" fld="11" baseField="0" baseItem="0" numFmtId="44"/>
  </dataFields>
  <formats count="2">
    <format dxfId="69">
      <pivotArea outline="0" collapsedLevelsAreSubtotals="1" fieldPosition="0"/>
    </format>
    <format dxfId="70">
      <pivotArea dataOnly="0" labelOnly="1" outline="0" axis="axisValues" fieldPosition="0"/>
    </format>
  </formats>
  <chartFormats count="6">
    <chartFormat chart="3" format="2"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 chart="8" format="10">
      <pivotArea type="data" outline="0" fieldPosition="0">
        <references count="2">
          <reference field="4294967294" count="1" selected="0">
            <x v="0"/>
          </reference>
          <reference field="6" count="1" selected="0">
            <x v="2"/>
          </reference>
        </references>
      </pivotArea>
    </chartFormat>
    <chartFormat chart="8" format="1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1922FF8-D310-498C-A51C-8C62F2297D3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8:F11"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axis="axisRow" showAll="0">
      <items count="3">
        <item x="1"/>
        <item x="0"/>
        <item t="default"/>
      </items>
    </pivotField>
    <pivotField showAll="0"/>
    <pivotField showAll="0"/>
    <pivotField showAll="0">
      <items count="3">
        <item x="1"/>
        <item x="0"/>
        <item t="default"/>
      </items>
    </pivotField>
    <pivotField showAll="0"/>
    <pivotField showAll="0"/>
    <pivotField numFmtId="1" showAll="0"/>
    <pivotField showAll="0"/>
    <pivotField showAll="0"/>
    <pivotField dataField="1"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dataFields count="1">
    <dataField name="Sum of Revenue" fld="11" baseField="0" baseItem="0" numFmtId="44"/>
  </dataFields>
  <formats count="2">
    <format dxfId="71">
      <pivotArea outline="0" collapsedLevelsAreSubtotals="1" fieldPosition="0"/>
    </format>
    <format dxfId="72">
      <pivotArea dataOnly="0" labelOnly="1" outline="0" axis="axisValues" fieldPosition="0"/>
    </format>
  </formats>
  <chartFormats count="3">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1"/>
          </reference>
        </references>
      </pivotArea>
    </chartFormat>
    <chartFormat chart="9"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73A1DF4-A3DE-45BD-849D-66E5EC8B7D2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M26" firstHeaderRow="1" firstDataRow="2"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items count="7">
        <item x="0"/>
        <item x="4"/>
        <item x="1"/>
        <item x="3"/>
        <item x="5"/>
        <item x="2"/>
        <item t="default"/>
      </items>
    </pivotField>
    <pivotField showAll="0"/>
    <pivotField axis="axisRow" showAll="0">
      <items count="3">
        <item x="1"/>
        <item x="0"/>
        <item t="default"/>
      </items>
    </pivotField>
    <pivotField showAll="0"/>
    <pivotField showAll="0"/>
    <pivotField dataField="1" numFmtId="1" showAll="0"/>
    <pivotField showAll="0"/>
    <pivotField showAll="0"/>
    <pivotField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Fields count="1">
    <field x="17"/>
  </colFields>
  <colItems count="4">
    <i>
      <x v="10"/>
    </i>
    <i>
      <x v="11"/>
    </i>
    <i>
      <x v="12"/>
    </i>
    <i t="grand">
      <x/>
    </i>
  </colItems>
  <dataFields count="1">
    <dataField name="Sum of Order_Quantity" fld="8" baseField="0" baseItem="0" numFmtId="166"/>
  </dataFields>
  <formats count="6">
    <format dxfId="73">
      <pivotArea type="all" dataOnly="0" outline="0" fieldPosition="0"/>
    </format>
    <format dxfId="74">
      <pivotArea outline="0" collapsedLevelsAreSubtotals="1" fieldPosition="0"/>
    </format>
    <format dxfId="75">
      <pivotArea field="5" type="button" dataOnly="0" labelOnly="1" outline="0" axis="axisRow" fieldPosition="0"/>
    </format>
    <format dxfId="76">
      <pivotArea dataOnly="0" labelOnly="1" fieldPosition="0">
        <references count="1">
          <reference field="5" count="0"/>
        </references>
      </pivotArea>
    </format>
    <format dxfId="77">
      <pivotArea dataOnly="0" labelOnly="1" grandRow="1" outline="0" fieldPosition="0"/>
    </format>
    <format dxfId="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294957A-BC50-4F20-8F8B-D44292CBE82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F23"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items count="7">
        <item x="0"/>
        <item x="4"/>
        <item x="1"/>
        <item x="3"/>
        <item x="5"/>
        <item x="2"/>
        <item t="default"/>
      </items>
    </pivotField>
    <pivotField showAll="0"/>
    <pivotField axis="axisRow" showAll="0">
      <items count="3">
        <item x="1"/>
        <item x="0"/>
        <item t="default"/>
      </items>
    </pivotField>
    <pivotField showAll="0"/>
    <pivotField showAll="0"/>
    <pivotField numFmtId="1" showAll="0"/>
    <pivotField showAll="0"/>
    <pivotField showAll="0"/>
    <pivotField numFmtId="164" showAll="0"/>
    <pivotField numFmtId="164" showAll="0"/>
    <pivotField numFmtId="164" showAll="0"/>
    <pivotField dataField="1"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Average of Profit_Margin_%" fld="14" subtotal="average" baseField="5" baseItem="0" numFmtId="10"/>
  </dataFields>
  <formats count="6">
    <format dxfId="79">
      <pivotArea type="all" dataOnly="0" outline="0" fieldPosition="0"/>
    </format>
    <format dxfId="80">
      <pivotArea outline="0" collapsedLevelsAreSubtotals="1" fieldPosition="0"/>
    </format>
    <format dxfId="81">
      <pivotArea field="5" type="button" dataOnly="0" labelOnly="1" outline="0" axis="axisRow" fieldPosition="0"/>
    </format>
    <format dxfId="82">
      <pivotArea dataOnly="0" labelOnly="1" fieldPosition="0">
        <references count="1">
          <reference field="5" count="0"/>
        </references>
      </pivotArea>
    </format>
    <format dxfId="83">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9E115E0-894F-45B9-A487-C81B5C485EDA}"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15:R19"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showAll="0"/>
    <pivotField showAll="0"/>
    <pivotField showAll="0">
      <items count="3">
        <item x="1"/>
        <item x="0"/>
        <item t="default"/>
      </items>
    </pivotField>
    <pivotField showAll="0"/>
    <pivotField showAll="0"/>
    <pivotField dataField="1" numFmtId="1" showAll="0"/>
    <pivotField showAll="0"/>
    <pivotField showAll="0"/>
    <pivotField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0"/>
    </i>
    <i>
      <x v="11"/>
    </i>
    <i>
      <x v="12"/>
    </i>
    <i t="grand">
      <x/>
    </i>
  </rowItems>
  <colItems count="1">
    <i/>
  </colItems>
  <dataFields count="1">
    <dataField name="Count of Order_Quantity" fld="8" subtotal="count" baseField="17" baseItem="12" numFmtId="166"/>
  </dataFields>
  <formats count="6">
    <format dxfId="85">
      <pivotArea type="all" dataOnly="0" outline="0" fieldPosition="0"/>
    </format>
    <format dxfId="86">
      <pivotArea outline="0" collapsedLevelsAreSubtotals="1" fieldPosition="0"/>
    </format>
    <format dxfId="87">
      <pivotArea field="17" type="button" dataOnly="0" labelOnly="1" outline="0" axis="axisRow" fieldPosition="0"/>
    </format>
    <format dxfId="88">
      <pivotArea dataOnly="0" labelOnly="1" fieldPosition="0">
        <references count="1">
          <reference field="17" count="3">
            <x v="10"/>
            <x v="11"/>
            <x v="12"/>
          </reference>
        </references>
      </pivotArea>
    </format>
    <format dxfId="89">
      <pivotArea dataOnly="0" labelOnly="1" grandRow="1" outline="0"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E70F627-E184-40AB-BE08-CDE33A45048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40:F43"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axis="axisRow" showAll="0">
      <items count="3">
        <item x="1"/>
        <item x="0"/>
        <item t="default"/>
      </items>
    </pivotField>
    <pivotField showAll="0"/>
    <pivotField showAll="0"/>
    <pivotField showAll="0">
      <items count="3">
        <item x="1"/>
        <item x="0"/>
        <item t="default"/>
      </items>
    </pivotField>
    <pivotField showAll="0"/>
    <pivotField showAll="0"/>
    <pivotField dataField="1" numFmtId="1" showAll="0"/>
    <pivotField showAll="0"/>
    <pivotField showAll="0"/>
    <pivotField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dataFields count="1">
    <dataField name="Count of Order_Quantity" fld="8" subtotal="count" baseField="2" baseItem="0" numFmtId="166"/>
  </dataFields>
  <formats count="6">
    <format dxfId="91">
      <pivotArea type="all" dataOnly="0" outline="0" fieldPosition="0"/>
    </format>
    <format dxfId="92">
      <pivotArea outline="0" collapsedLevelsAreSubtotals="1" fieldPosition="0"/>
    </format>
    <format dxfId="93">
      <pivotArea field="2" type="button" dataOnly="0" labelOnly="1" outline="0" axis="axisRow" fieldPosition="0"/>
    </format>
    <format dxfId="94">
      <pivotArea dataOnly="0" labelOnly="1" fieldPosition="0">
        <references count="1">
          <reference field="2" count="0"/>
        </references>
      </pivotArea>
    </format>
    <format dxfId="95">
      <pivotArea dataOnly="0" labelOnly="1" grandRow="1" outline="0" fieldPosition="0"/>
    </format>
    <format dxfId="96">
      <pivotArea dataOnly="0" labelOnly="1" outline="0" axis="axisValues" fieldPosition="0"/>
    </format>
  </formats>
  <chartFormats count="3">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2" count="1" selected="0">
            <x v="0"/>
          </reference>
        </references>
      </pivotArea>
    </chartFormat>
    <chartFormat chart="10"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A371798-2071-4ED1-B10D-004309A42C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21" firstHeaderRow="1" firstDataRow="1" firstDataCol="1"/>
  <pivotFields count="18">
    <pivotField numFmtId="14" showAll="0">
      <items count="93">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t="default"/>
      </items>
    </pivotField>
    <pivotField showAll="0"/>
    <pivotField showAll="0"/>
    <pivotField axis="axisRow" showAll="0">
      <items count="7">
        <item x="0"/>
        <item x="4"/>
        <item x="1"/>
        <item x="3"/>
        <item x="5"/>
        <item x="2"/>
        <item t="default"/>
      </items>
    </pivotField>
    <pivotField showAll="0"/>
    <pivotField showAll="0">
      <items count="3">
        <item x="1"/>
        <item x="0"/>
        <item t="default"/>
      </items>
    </pivotField>
    <pivotField showAll="0"/>
    <pivotField showAll="0"/>
    <pivotField numFmtId="1" showAll="0"/>
    <pivotField showAll="0"/>
    <pivotField showAll="0"/>
    <pivotField dataField="1" numFmtId="164" showAll="0"/>
    <pivotField numFmtId="164" showAll="0"/>
    <pivotField numFmtId="164" showAll="0"/>
    <pivotField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Sum of Revenue" fld="11" baseField="0" baseItem="0" numFmtId="44"/>
  </dataFields>
  <formats count="2">
    <format dxfId="97">
      <pivotArea outline="0" collapsedLevelsAreSubtotals="1" fieldPosition="0"/>
    </format>
    <format dxfId="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BA35461-79C9-4D71-BAD6-FB2DAFD09473}" sourceName="Sub_Category">
  <data>
    <tabular pivotCacheId="18667041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xr10:uid="{929C0376-7C17-402B-A144-6B9EC11117F3}" cache="Slicer_Sub_Category" caption="Sub_Category"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0B03A-DE0F-4CC6-8B51-4D2ED110887C}">
  <dimension ref="B2:S56"/>
  <sheetViews>
    <sheetView zoomScale="55" zoomScaleNormal="55" workbookViewId="0">
      <selection activeCell="G50" sqref="G50"/>
    </sheetView>
  </sheetViews>
  <sheetFormatPr defaultRowHeight="14.4" x14ac:dyDescent="0.3"/>
  <cols>
    <col min="2" max="2" width="19.88671875" bestFit="1" customWidth="1"/>
    <col min="3" max="3" width="20.44140625" bestFit="1" customWidth="1"/>
    <col min="4" max="5" width="19.88671875" bestFit="1" customWidth="1"/>
    <col min="6" max="6" width="19.109375" bestFit="1" customWidth="1"/>
    <col min="7" max="7" width="21.44140625" bestFit="1" customWidth="1"/>
    <col min="8" max="8" width="14.33203125" bestFit="1" customWidth="1"/>
    <col min="9" max="9" width="19.88671875" bestFit="1" customWidth="1"/>
    <col min="10" max="10" width="23.33203125" bestFit="1" customWidth="1"/>
    <col min="11" max="11" width="9" bestFit="1" customWidth="1"/>
    <col min="12" max="12" width="20.88671875" bestFit="1" customWidth="1"/>
    <col min="13" max="13" width="25.109375" bestFit="1" customWidth="1"/>
    <col min="14" max="14" width="18.33203125" bestFit="1" customWidth="1"/>
    <col min="15" max="15" width="37" bestFit="1" customWidth="1"/>
    <col min="16" max="16" width="32.33203125" bestFit="1" customWidth="1"/>
    <col min="17" max="17" width="22.33203125" bestFit="1" customWidth="1"/>
    <col min="18" max="18" width="34.6640625" bestFit="1" customWidth="1"/>
    <col min="19" max="19" width="32.33203125" bestFit="1" customWidth="1"/>
  </cols>
  <sheetData>
    <row r="2" spans="2:19" x14ac:dyDescent="0.3">
      <c r="B2" s="5" t="s">
        <v>11</v>
      </c>
      <c r="C2" s="1" t="s">
        <v>8</v>
      </c>
      <c r="E2" s="5" t="s">
        <v>11</v>
      </c>
      <c r="F2" t="s">
        <v>6</v>
      </c>
      <c r="G2" t="s">
        <v>8</v>
      </c>
      <c r="I2" s="5" t="s">
        <v>8</v>
      </c>
      <c r="J2" s="5" t="s">
        <v>19</v>
      </c>
      <c r="N2" s="5" t="s">
        <v>11</v>
      </c>
      <c r="O2" t="s">
        <v>6</v>
      </c>
      <c r="P2" t="s">
        <v>8</v>
      </c>
      <c r="Q2" t="s">
        <v>7</v>
      </c>
      <c r="R2" t="s">
        <v>5</v>
      </c>
      <c r="S2" t="s">
        <v>4</v>
      </c>
    </row>
    <row r="3" spans="2:19" x14ac:dyDescent="0.3">
      <c r="B3" s="2" t="s">
        <v>30</v>
      </c>
      <c r="C3" s="1">
        <v>429770</v>
      </c>
      <c r="E3" s="2" t="s">
        <v>30</v>
      </c>
      <c r="F3" s="1">
        <v>157010</v>
      </c>
      <c r="G3" s="1">
        <v>429770</v>
      </c>
      <c r="I3" s="5" t="s">
        <v>11</v>
      </c>
      <c r="J3" t="s">
        <v>26</v>
      </c>
      <c r="K3" t="s">
        <v>25</v>
      </c>
      <c r="L3" t="s">
        <v>0</v>
      </c>
      <c r="N3" s="2" t="s">
        <v>30</v>
      </c>
      <c r="O3" s="1">
        <v>157010</v>
      </c>
      <c r="P3" s="1">
        <v>429770</v>
      </c>
      <c r="Q3" s="1">
        <v>272760</v>
      </c>
      <c r="R3" s="4">
        <v>0.36534847488084826</v>
      </c>
      <c r="S3" s="3">
        <v>229</v>
      </c>
    </row>
    <row r="4" spans="2:19" x14ac:dyDescent="0.3">
      <c r="B4" s="2" t="s">
        <v>29</v>
      </c>
      <c r="C4" s="1">
        <v>352760</v>
      </c>
      <c r="E4" s="2" t="s">
        <v>29</v>
      </c>
      <c r="F4" s="1">
        <v>128580</v>
      </c>
      <c r="G4" s="1">
        <v>352760</v>
      </c>
      <c r="I4" s="2" t="s">
        <v>22</v>
      </c>
      <c r="J4" s="1">
        <v>153220</v>
      </c>
      <c r="K4" s="1">
        <v>359620</v>
      </c>
      <c r="L4" s="1">
        <v>512840</v>
      </c>
      <c r="N4" s="2" t="s">
        <v>29</v>
      </c>
      <c r="O4" s="1">
        <v>128580</v>
      </c>
      <c r="P4" s="1">
        <v>352760</v>
      </c>
      <c r="Q4" s="1">
        <v>224180</v>
      </c>
      <c r="R4" s="4">
        <v>0.36525351390093891</v>
      </c>
      <c r="S4" s="3">
        <v>193</v>
      </c>
    </row>
    <row r="5" spans="2:19" x14ac:dyDescent="0.3">
      <c r="B5" s="2" t="s">
        <v>28</v>
      </c>
      <c r="C5" s="1">
        <v>626970</v>
      </c>
      <c r="E5" s="2" t="s">
        <v>28</v>
      </c>
      <c r="F5" s="1">
        <v>227870</v>
      </c>
      <c r="G5" s="1">
        <v>626970</v>
      </c>
      <c r="I5" s="2" t="s">
        <v>21</v>
      </c>
      <c r="J5" s="1">
        <v>136060</v>
      </c>
      <c r="K5" s="1">
        <v>287390</v>
      </c>
      <c r="L5" s="1">
        <v>423450</v>
      </c>
      <c r="N5" s="2" t="s">
        <v>28</v>
      </c>
      <c r="O5" s="1">
        <v>227870</v>
      </c>
      <c r="P5" s="1">
        <v>626970</v>
      </c>
      <c r="Q5" s="1">
        <v>399100</v>
      </c>
      <c r="R5" s="4">
        <v>0.36417261600312723</v>
      </c>
      <c r="S5" s="3">
        <v>330</v>
      </c>
    </row>
    <row r="6" spans="2:19" x14ac:dyDescent="0.3">
      <c r="B6" s="2" t="s">
        <v>0</v>
      </c>
      <c r="C6" s="1">
        <v>1409500</v>
      </c>
      <c r="E6" s="2" t="s">
        <v>0</v>
      </c>
      <c r="F6" s="1">
        <v>513460</v>
      </c>
      <c r="G6" s="1">
        <v>1409500</v>
      </c>
      <c r="I6" s="2" t="s">
        <v>20</v>
      </c>
      <c r="J6" s="1">
        <v>43390</v>
      </c>
      <c r="K6" s="1">
        <v>136520</v>
      </c>
      <c r="L6" s="1">
        <v>179910</v>
      </c>
      <c r="N6" s="2" t="s">
        <v>0</v>
      </c>
      <c r="O6" s="1">
        <v>513460</v>
      </c>
      <c r="P6" s="1">
        <v>1409500</v>
      </c>
      <c r="Q6" s="1">
        <v>896040</v>
      </c>
      <c r="R6" s="4">
        <v>0.3648081013452496</v>
      </c>
      <c r="S6" s="3">
        <v>752</v>
      </c>
    </row>
    <row r="7" spans="2:19" x14ac:dyDescent="0.3">
      <c r="I7" s="2" t="s">
        <v>18</v>
      </c>
      <c r="J7" s="1">
        <v>8500</v>
      </c>
      <c r="K7" s="1">
        <v>66060</v>
      </c>
      <c r="L7" s="1">
        <v>74560</v>
      </c>
    </row>
    <row r="8" spans="2:19" x14ac:dyDescent="0.3">
      <c r="B8" s="5" t="s">
        <v>11</v>
      </c>
      <c r="C8" s="1" t="s">
        <v>8</v>
      </c>
      <c r="E8" s="5" t="s">
        <v>11</v>
      </c>
      <c r="F8" s="1" t="s">
        <v>8</v>
      </c>
      <c r="I8" s="2" t="s">
        <v>17</v>
      </c>
      <c r="J8" s="1">
        <v>39220</v>
      </c>
      <c r="K8" s="1">
        <v>179520</v>
      </c>
      <c r="L8" s="1">
        <v>218740</v>
      </c>
    </row>
    <row r="9" spans="2:19" x14ac:dyDescent="0.3">
      <c r="B9" s="2" t="s">
        <v>26</v>
      </c>
      <c r="C9" s="1">
        <v>380390</v>
      </c>
      <c r="E9" s="2" t="s">
        <v>24</v>
      </c>
      <c r="F9" s="1">
        <v>709670</v>
      </c>
      <c r="I9" s="2" t="s">
        <v>0</v>
      </c>
      <c r="J9" s="1">
        <v>380390</v>
      </c>
      <c r="K9" s="1">
        <v>1029110</v>
      </c>
      <c r="L9" s="1">
        <v>1409500</v>
      </c>
      <c r="N9" s="5" t="s">
        <v>11</v>
      </c>
      <c r="O9" s="1" t="s">
        <v>6</v>
      </c>
      <c r="Q9" s="5" t="s">
        <v>11</v>
      </c>
      <c r="R9" s="1" t="s">
        <v>7</v>
      </c>
    </row>
    <row r="10" spans="2:19" x14ac:dyDescent="0.3">
      <c r="B10" s="2" t="s">
        <v>25</v>
      </c>
      <c r="C10" s="1">
        <v>1029110</v>
      </c>
      <c r="E10" s="2" t="s">
        <v>23</v>
      </c>
      <c r="F10" s="1">
        <v>699830</v>
      </c>
      <c r="N10" s="2" t="s">
        <v>30</v>
      </c>
      <c r="O10" s="1">
        <v>157010</v>
      </c>
      <c r="Q10" s="2" t="s">
        <v>30</v>
      </c>
      <c r="R10" s="1">
        <v>272760</v>
      </c>
    </row>
    <row r="11" spans="2:19" x14ac:dyDescent="0.3">
      <c r="B11" s="2" t="s">
        <v>0</v>
      </c>
      <c r="C11" s="1">
        <v>1409500</v>
      </c>
      <c r="E11" s="2" t="s">
        <v>0</v>
      </c>
      <c r="F11" s="1">
        <v>1409500</v>
      </c>
      <c r="N11" s="2" t="s">
        <v>29</v>
      </c>
      <c r="O11" s="1">
        <v>128580</v>
      </c>
      <c r="Q11" s="2" t="s">
        <v>29</v>
      </c>
      <c r="R11" s="1">
        <v>224180</v>
      </c>
    </row>
    <row r="12" spans="2:19" x14ac:dyDescent="0.3">
      <c r="I12" s="9" t="s">
        <v>31</v>
      </c>
      <c r="J12" s="9" t="s">
        <v>19</v>
      </c>
      <c r="K12" s="3"/>
      <c r="L12" s="3"/>
      <c r="N12" s="2" t="s">
        <v>28</v>
      </c>
      <c r="O12" s="1">
        <v>227870</v>
      </c>
      <c r="Q12" s="2" t="s">
        <v>28</v>
      </c>
      <c r="R12" s="1">
        <v>399100</v>
      </c>
    </row>
    <row r="13" spans="2:19" x14ac:dyDescent="0.3">
      <c r="I13" s="9" t="s">
        <v>11</v>
      </c>
      <c r="J13" s="3" t="s">
        <v>26</v>
      </c>
      <c r="K13" s="3" t="s">
        <v>25</v>
      </c>
      <c r="L13" s="3" t="s">
        <v>0</v>
      </c>
      <c r="N13" s="2" t="s">
        <v>0</v>
      </c>
      <c r="O13" s="1">
        <v>513460</v>
      </c>
      <c r="Q13" s="2" t="s">
        <v>0</v>
      </c>
      <c r="R13" s="1">
        <v>896040</v>
      </c>
    </row>
    <row r="14" spans="2:19" x14ac:dyDescent="0.3">
      <c r="B14" s="5" t="s">
        <v>11</v>
      </c>
      <c r="C14" s="1" t="s">
        <v>8</v>
      </c>
      <c r="E14" s="5" t="s">
        <v>11</v>
      </c>
      <c r="F14" t="s">
        <v>8</v>
      </c>
      <c r="G14" t="s">
        <v>4</v>
      </c>
      <c r="I14" s="7" t="s">
        <v>22</v>
      </c>
      <c r="J14" s="3">
        <v>96</v>
      </c>
      <c r="K14" s="3">
        <v>182</v>
      </c>
      <c r="L14" s="3">
        <v>278</v>
      </c>
    </row>
    <row r="15" spans="2:19" x14ac:dyDescent="0.3">
      <c r="B15" s="2" t="s">
        <v>16</v>
      </c>
      <c r="C15" s="1">
        <v>511050</v>
      </c>
      <c r="E15" s="2" t="s">
        <v>24</v>
      </c>
      <c r="F15" s="1">
        <v>709670</v>
      </c>
      <c r="G15" s="3">
        <v>386</v>
      </c>
      <c r="I15" s="7" t="s">
        <v>21</v>
      </c>
      <c r="J15" s="3">
        <v>79</v>
      </c>
      <c r="K15" s="3">
        <v>149</v>
      </c>
      <c r="L15" s="3">
        <v>228</v>
      </c>
      <c r="N15" s="15" t="s">
        <v>11</v>
      </c>
      <c r="O15" s="4" t="s">
        <v>5</v>
      </c>
      <c r="Q15" s="9" t="s">
        <v>11</v>
      </c>
      <c r="R15" s="3" t="s">
        <v>4</v>
      </c>
    </row>
    <row r="16" spans="2:19" x14ac:dyDescent="0.3">
      <c r="B16" s="2" t="s">
        <v>15</v>
      </c>
      <c r="C16" s="1">
        <v>71100</v>
      </c>
      <c r="E16" s="2" t="s">
        <v>23</v>
      </c>
      <c r="F16" s="1">
        <v>699830</v>
      </c>
      <c r="G16" s="3">
        <v>366</v>
      </c>
      <c r="I16" s="7" t="s">
        <v>20</v>
      </c>
      <c r="J16" s="3">
        <v>32</v>
      </c>
      <c r="K16" s="3">
        <v>69</v>
      </c>
      <c r="L16" s="3">
        <v>101</v>
      </c>
      <c r="N16" s="14" t="s">
        <v>30</v>
      </c>
      <c r="O16" s="4">
        <v>0.36534847488084826</v>
      </c>
      <c r="Q16" s="7" t="s">
        <v>30</v>
      </c>
      <c r="R16" s="3">
        <v>229</v>
      </c>
    </row>
    <row r="17" spans="2:18" x14ac:dyDescent="0.3">
      <c r="B17" s="2" t="s">
        <v>14</v>
      </c>
      <c r="C17" s="1">
        <v>175860</v>
      </c>
      <c r="E17" s="2" t="s">
        <v>0</v>
      </c>
      <c r="F17" s="1">
        <v>1409500</v>
      </c>
      <c r="G17" s="3">
        <v>752</v>
      </c>
      <c r="I17" s="7" t="s">
        <v>18</v>
      </c>
      <c r="J17" s="3">
        <v>3</v>
      </c>
      <c r="K17" s="3">
        <v>32</v>
      </c>
      <c r="L17" s="3">
        <v>35</v>
      </c>
      <c r="N17" s="14" t="s">
        <v>29</v>
      </c>
      <c r="O17" s="4">
        <v>0.36525351390093891</v>
      </c>
      <c r="Q17" s="7" t="s">
        <v>29</v>
      </c>
      <c r="R17" s="3">
        <v>193</v>
      </c>
    </row>
    <row r="18" spans="2:18" x14ac:dyDescent="0.3">
      <c r="B18" s="2" t="s">
        <v>13</v>
      </c>
      <c r="C18" s="1">
        <v>148350</v>
      </c>
      <c r="I18" s="7" t="s">
        <v>17</v>
      </c>
      <c r="J18" s="3">
        <v>22</v>
      </c>
      <c r="K18" s="3">
        <v>88</v>
      </c>
      <c r="L18" s="3">
        <v>110</v>
      </c>
      <c r="N18" s="14" t="s">
        <v>28</v>
      </c>
      <c r="O18" s="4">
        <v>0.36417261600312723</v>
      </c>
      <c r="Q18" s="7" t="s">
        <v>28</v>
      </c>
      <c r="R18" s="3">
        <v>330</v>
      </c>
    </row>
    <row r="19" spans="2:18" x14ac:dyDescent="0.3">
      <c r="B19" s="2" t="s">
        <v>12</v>
      </c>
      <c r="C19" s="1">
        <v>172060</v>
      </c>
      <c r="I19" s="7" t="s">
        <v>0</v>
      </c>
      <c r="J19" s="3">
        <v>232</v>
      </c>
      <c r="K19" s="3">
        <v>520</v>
      </c>
      <c r="L19" s="3">
        <v>752</v>
      </c>
      <c r="N19" s="14" t="s">
        <v>0</v>
      </c>
      <c r="O19" s="4">
        <v>0.3648081013452496</v>
      </c>
      <c r="Q19" s="7" t="s">
        <v>0</v>
      </c>
      <c r="R19" s="3">
        <v>752</v>
      </c>
    </row>
    <row r="20" spans="2:18" x14ac:dyDescent="0.3">
      <c r="B20" s="2" t="s">
        <v>10</v>
      </c>
      <c r="C20" s="1">
        <v>331080</v>
      </c>
      <c r="E20" s="13" t="s">
        <v>11</v>
      </c>
      <c r="F20" s="11" t="s">
        <v>5</v>
      </c>
    </row>
    <row r="21" spans="2:18" x14ac:dyDescent="0.3">
      <c r="B21" s="2" t="s">
        <v>0</v>
      </c>
      <c r="C21" s="1">
        <v>1409500</v>
      </c>
      <c r="E21" s="12" t="s">
        <v>26</v>
      </c>
      <c r="F21" s="11">
        <v>0.3577670894547969</v>
      </c>
    </row>
    <row r="22" spans="2:18" x14ac:dyDescent="0.3">
      <c r="E22" s="12" t="s">
        <v>25</v>
      </c>
      <c r="F22" s="11">
        <v>0.36794947588099125</v>
      </c>
      <c r="I22" s="9" t="s">
        <v>27</v>
      </c>
      <c r="J22" s="9" t="s">
        <v>19</v>
      </c>
      <c r="K22" s="3"/>
      <c r="L22" s="3"/>
      <c r="M22" s="3"/>
    </row>
    <row r="23" spans="2:18" x14ac:dyDescent="0.3">
      <c r="E23" s="12" t="s">
        <v>0</v>
      </c>
      <c r="F23" s="11">
        <v>0.36480810134525088</v>
      </c>
      <c r="I23" s="9" t="s">
        <v>11</v>
      </c>
      <c r="J23" s="3" t="s">
        <v>30</v>
      </c>
      <c r="K23" s="3" t="s">
        <v>29</v>
      </c>
      <c r="L23" s="3" t="s">
        <v>28</v>
      </c>
      <c r="M23" s="3" t="s">
        <v>0</v>
      </c>
    </row>
    <row r="24" spans="2:18" x14ac:dyDescent="0.3">
      <c r="B24" s="5" t="s">
        <v>11</v>
      </c>
      <c r="C24" s="11" t="s">
        <v>5</v>
      </c>
      <c r="I24" s="7" t="s">
        <v>26</v>
      </c>
      <c r="J24" s="3">
        <v>148</v>
      </c>
      <c r="K24" s="3">
        <v>83</v>
      </c>
      <c r="L24" s="3">
        <v>234</v>
      </c>
      <c r="M24" s="3">
        <v>465</v>
      </c>
    </row>
    <row r="25" spans="2:18" x14ac:dyDescent="0.3">
      <c r="B25" s="2" t="s">
        <v>22</v>
      </c>
      <c r="C25" s="11">
        <v>0.36446696910984117</v>
      </c>
      <c r="E25" s="9" t="s">
        <v>11</v>
      </c>
      <c r="F25" s="3" t="s">
        <v>27</v>
      </c>
      <c r="I25" s="7" t="s">
        <v>25</v>
      </c>
      <c r="J25" s="3">
        <v>304</v>
      </c>
      <c r="K25" s="3">
        <v>284</v>
      </c>
      <c r="L25" s="3">
        <v>430</v>
      </c>
      <c r="M25" s="3">
        <v>1018</v>
      </c>
    </row>
    <row r="26" spans="2:18" x14ac:dyDescent="0.3">
      <c r="B26" s="2" t="s">
        <v>21</v>
      </c>
      <c r="C26" s="11">
        <v>0.3644246178679289</v>
      </c>
      <c r="E26" s="7" t="s">
        <v>26</v>
      </c>
      <c r="F26" s="3">
        <v>465</v>
      </c>
      <c r="I26" s="7" t="s">
        <v>0</v>
      </c>
      <c r="J26" s="3">
        <v>452</v>
      </c>
      <c r="K26" s="3">
        <v>367</v>
      </c>
      <c r="L26" s="3">
        <v>664</v>
      </c>
      <c r="M26" s="3">
        <v>1483</v>
      </c>
    </row>
    <row r="27" spans="2:18" x14ac:dyDescent="0.3">
      <c r="B27" s="2" t="s">
        <v>20</v>
      </c>
      <c r="C27" s="11">
        <v>0.36497821021271959</v>
      </c>
      <c r="E27" s="7" t="s">
        <v>25</v>
      </c>
      <c r="F27" s="3">
        <v>1018</v>
      </c>
    </row>
    <row r="28" spans="2:18" x14ac:dyDescent="0.3">
      <c r="B28" s="2" t="s">
        <v>18</v>
      </c>
      <c r="C28" s="11">
        <v>0.36585009497870308</v>
      </c>
      <c r="E28" s="7" t="s">
        <v>0</v>
      </c>
      <c r="F28" s="3">
        <v>1483</v>
      </c>
    </row>
    <row r="29" spans="2:18" x14ac:dyDescent="0.3">
      <c r="B29" s="2" t="s">
        <v>17</v>
      </c>
      <c r="C29" s="11">
        <v>0.36597735790422237</v>
      </c>
      <c r="I29" s="5" t="s">
        <v>8</v>
      </c>
      <c r="J29" s="5" t="s">
        <v>19</v>
      </c>
    </row>
    <row r="30" spans="2:18" x14ac:dyDescent="0.3">
      <c r="B30" s="2" t="s">
        <v>0</v>
      </c>
      <c r="C30" s="11">
        <v>0.36480810134525021</v>
      </c>
      <c r="E30" s="9" t="s">
        <v>11</v>
      </c>
      <c r="F30" s="3" t="s">
        <v>27</v>
      </c>
      <c r="G30" s="4" t="s">
        <v>5</v>
      </c>
      <c r="I30" s="5" t="s">
        <v>11</v>
      </c>
      <c r="J30" t="s">
        <v>22</v>
      </c>
      <c r="K30" t="s">
        <v>21</v>
      </c>
      <c r="L30" t="s">
        <v>20</v>
      </c>
      <c r="M30" t="s">
        <v>18</v>
      </c>
      <c r="N30" t="s">
        <v>17</v>
      </c>
      <c r="O30" t="s">
        <v>0</v>
      </c>
    </row>
    <row r="31" spans="2:18" x14ac:dyDescent="0.3">
      <c r="E31" s="7" t="s">
        <v>26</v>
      </c>
      <c r="F31" s="3">
        <v>465</v>
      </c>
      <c r="G31" s="4">
        <v>0.35776708945479679</v>
      </c>
      <c r="I31" s="2" t="s">
        <v>16</v>
      </c>
      <c r="J31" s="1">
        <v>155430</v>
      </c>
      <c r="K31" s="1">
        <v>177040</v>
      </c>
      <c r="L31" s="1">
        <v>49400</v>
      </c>
      <c r="M31" s="1">
        <v>29520</v>
      </c>
      <c r="N31" s="1">
        <v>99660</v>
      </c>
      <c r="O31" s="1">
        <v>511050</v>
      </c>
    </row>
    <row r="32" spans="2:18" x14ac:dyDescent="0.3">
      <c r="E32" s="10" t="s">
        <v>9</v>
      </c>
      <c r="F32" s="3">
        <v>228</v>
      </c>
      <c r="G32" s="4">
        <v>0.35612356081409979</v>
      </c>
      <c r="I32" s="2" t="s">
        <v>15</v>
      </c>
      <c r="J32" s="1">
        <v>28660</v>
      </c>
      <c r="K32" s="1">
        <v>22110</v>
      </c>
      <c r="L32" s="1">
        <v>15290</v>
      </c>
      <c r="M32" s="1"/>
      <c r="N32" s="1">
        <v>5040</v>
      </c>
      <c r="O32" s="1">
        <v>71100</v>
      </c>
    </row>
    <row r="33" spans="2:15" x14ac:dyDescent="0.3">
      <c r="B33" s="5" t="s">
        <v>11</v>
      </c>
      <c r="C33" s="1" t="s">
        <v>6</v>
      </c>
      <c r="E33" s="10" t="s">
        <v>2</v>
      </c>
      <c r="F33" s="3">
        <v>237</v>
      </c>
      <c r="G33" s="4">
        <v>0.35932775110520476</v>
      </c>
      <c r="I33" s="2" t="s">
        <v>14</v>
      </c>
      <c r="J33" s="1">
        <v>115010</v>
      </c>
      <c r="K33" s="1">
        <v>14520</v>
      </c>
      <c r="L33" s="1">
        <v>13900</v>
      </c>
      <c r="M33" s="1"/>
      <c r="N33" s="1">
        <v>32430</v>
      </c>
      <c r="O33" s="1">
        <v>175860</v>
      </c>
    </row>
    <row r="34" spans="2:15" x14ac:dyDescent="0.3">
      <c r="B34" s="2" t="s">
        <v>16</v>
      </c>
      <c r="C34" s="1">
        <v>186410</v>
      </c>
      <c r="E34" s="7" t="s">
        <v>25</v>
      </c>
      <c r="F34" s="3">
        <v>1018</v>
      </c>
      <c r="G34" s="4">
        <v>0.36794947588099014</v>
      </c>
      <c r="I34" s="2" t="s">
        <v>13</v>
      </c>
      <c r="J34" s="1">
        <v>54100</v>
      </c>
      <c r="K34" s="1">
        <v>54660</v>
      </c>
      <c r="L34" s="1">
        <v>18380</v>
      </c>
      <c r="M34" s="1">
        <v>1700</v>
      </c>
      <c r="N34" s="1">
        <v>19510</v>
      </c>
      <c r="O34" s="1">
        <v>148350</v>
      </c>
    </row>
    <row r="35" spans="2:15" x14ac:dyDescent="0.3">
      <c r="B35" s="2" t="s">
        <v>15</v>
      </c>
      <c r="C35" s="1">
        <v>25920</v>
      </c>
      <c r="E35" s="10" t="s">
        <v>9</v>
      </c>
      <c r="F35" s="3">
        <v>382</v>
      </c>
      <c r="G35" s="4">
        <v>0.36629522921043395</v>
      </c>
      <c r="I35" s="2" t="s">
        <v>12</v>
      </c>
      <c r="J35" s="1">
        <v>72320</v>
      </c>
      <c r="K35" s="1">
        <v>45690</v>
      </c>
      <c r="L35" s="1">
        <v>29940</v>
      </c>
      <c r="M35" s="1">
        <v>7360</v>
      </c>
      <c r="N35" s="1">
        <v>16750</v>
      </c>
      <c r="O35" s="1">
        <v>172060</v>
      </c>
    </row>
    <row r="36" spans="2:15" x14ac:dyDescent="0.3">
      <c r="B36" s="2" t="s">
        <v>14</v>
      </c>
      <c r="C36" s="1">
        <v>63750</v>
      </c>
      <c r="E36" s="10" t="s">
        <v>3</v>
      </c>
      <c r="F36" s="3">
        <v>319</v>
      </c>
      <c r="G36" s="4">
        <v>0.36530237020404344</v>
      </c>
      <c r="I36" s="2" t="s">
        <v>10</v>
      </c>
      <c r="J36" s="1">
        <v>87320</v>
      </c>
      <c r="K36" s="1">
        <v>109430</v>
      </c>
      <c r="L36" s="1">
        <v>53000</v>
      </c>
      <c r="M36" s="1">
        <v>35980</v>
      </c>
      <c r="N36" s="1">
        <v>45350</v>
      </c>
      <c r="O36" s="1">
        <v>331080</v>
      </c>
    </row>
    <row r="37" spans="2:15" x14ac:dyDescent="0.3">
      <c r="B37" s="2" t="s">
        <v>13</v>
      </c>
      <c r="C37" s="1">
        <v>54320</v>
      </c>
      <c r="E37" s="10" t="s">
        <v>1</v>
      </c>
      <c r="F37" s="3">
        <v>317</v>
      </c>
      <c r="G37" s="4">
        <v>0.37262635115395892</v>
      </c>
      <c r="I37" s="2" t="s">
        <v>0</v>
      </c>
      <c r="J37" s="1">
        <v>512840</v>
      </c>
      <c r="K37" s="1">
        <v>423450</v>
      </c>
      <c r="L37" s="1">
        <v>179910</v>
      </c>
      <c r="M37" s="1">
        <v>74560</v>
      </c>
      <c r="N37" s="1">
        <v>218740</v>
      </c>
      <c r="O37" s="1">
        <v>1409500</v>
      </c>
    </row>
    <row r="38" spans="2:15" x14ac:dyDescent="0.3">
      <c r="B38" s="2" t="s">
        <v>12</v>
      </c>
      <c r="C38" s="1">
        <v>62640</v>
      </c>
      <c r="E38" s="7" t="s">
        <v>0</v>
      </c>
      <c r="F38" s="3">
        <v>1483</v>
      </c>
      <c r="G38" s="4">
        <v>0.3648081013452496</v>
      </c>
    </row>
    <row r="39" spans="2:15" x14ac:dyDescent="0.3">
      <c r="B39" s="2" t="s">
        <v>10</v>
      </c>
      <c r="C39" s="1">
        <v>120420</v>
      </c>
    </row>
    <row r="40" spans="2:15" x14ac:dyDescent="0.3">
      <c r="B40" s="2" t="s">
        <v>0</v>
      </c>
      <c r="C40" s="1">
        <v>513460</v>
      </c>
      <c r="E40" s="9" t="s">
        <v>11</v>
      </c>
      <c r="F40" s="3" t="s">
        <v>4</v>
      </c>
    </row>
    <row r="41" spans="2:15" x14ac:dyDescent="0.3">
      <c r="E41" s="7" t="s">
        <v>24</v>
      </c>
      <c r="F41" s="3">
        <v>386</v>
      </c>
      <c r="I41" s="8" t="s">
        <v>11</v>
      </c>
      <c r="J41" s="1" t="s">
        <v>7</v>
      </c>
    </row>
    <row r="42" spans="2:15" x14ac:dyDescent="0.3">
      <c r="E42" s="7" t="s">
        <v>23</v>
      </c>
      <c r="F42" s="3">
        <v>366</v>
      </c>
      <c r="I42" s="6" t="s">
        <v>22</v>
      </c>
      <c r="J42" s="1">
        <v>326290</v>
      </c>
      <c r="L42" s="5" t="s">
        <v>11</v>
      </c>
      <c r="M42" s="1" t="s">
        <v>8</v>
      </c>
    </row>
    <row r="43" spans="2:15" x14ac:dyDescent="0.3">
      <c r="E43" s="7" t="s">
        <v>0</v>
      </c>
      <c r="F43" s="3">
        <v>752</v>
      </c>
      <c r="I43" s="6" t="s">
        <v>21</v>
      </c>
      <c r="J43" s="1">
        <v>269470</v>
      </c>
      <c r="L43" s="2" t="s">
        <v>16</v>
      </c>
      <c r="M43" s="1">
        <v>511050</v>
      </c>
    </row>
    <row r="44" spans="2:15" x14ac:dyDescent="0.3">
      <c r="I44" s="6" t="s">
        <v>20</v>
      </c>
      <c r="J44" s="1">
        <v>114040</v>
      </c>
      <c r="L44" s="2" t="s">
        <v>15</v>
      </c>
      <c r="M44" s="1">
        <v>71100</v>
      </c>
    </row>
    <row r="45" spans="2:15" x14ac:dyDescent="0.3">
      <c r="B45" s="5" t="s">
        <v>8</v>
      </c>
      <c r="C45" s="5" t="s">
        <v>19</v>
      </c>
      <c r="I45" s="6" t="s">
        <v>18</v>
      </c>
      <c r="J45" s="1">
        <v>47390</v>
      </c>
      <c r="L45" s="2" t="s">
        <v>14</v>
      </c>
      <c r="M45" s="1">
        <v>175860</v>
      </c>
    </row>
    <row r="46" spans="2:15" x14ac:dyDescent="0.3">
      <c r="B46" s="5" t="s">
        <v>11</v>
      </c>
      <c r="C46" t="s">
        <v>9</v>
      </c>
      <c r="D46" t="s">
        <v>3</v>
      </c>
      <c r="E46" t="s">
        <v>2</v>
      </c>
      <c r="F46" t="s">
        <v>1</v>
      </c>
      <c r="G46" t="s">
        <v>0</v>
      </c>
      <c r="I46" s="6" t="s">
        <v>17</v>
      </c>
      <c r="J46" s="1">
        <v>138850</v>
      </c>
      <c r="L46" s="2" t="s">
        <v>13</v>
      </c>
      <c r="M46" s="1">
        <v>148350</v>
      </c>
    </row>
    <row r="47" spans="2:15" x14ac:dyDescent="0.3">
      <c r="B47" s="2" t="s">
        <v>16</v>
      </c>
      <c r="C47" s="1">
        <v>234920</v>
      </c>
      <c r="D47" s="1">
        <v>85520</v>
      </c>
      <c r="E47" s="1">
        <v>65490</v>
      </c>
      <c r="F47" s="1">
        <v>125120</v>
      </c>
      <c r="G47" s="1">
        <v>511050</v>
      </c>
      <c r="I47" s="6" t="s">
        <v>0</v>
      </c>
      <c r="J47" s="1">
        <v>896040</v>
      </c>
      <c r="L47" s="2" t="s">
        <v>12</v>
      </c>
      <c r="M47" s="1">
        <v>172060</v>
      </c>
    </row>
    <row r="48" spans="2:15" x14ac:dyDescent="0.3">
      <c r="B48" s="2" t="s">
        <v>15</v>
      </c>
      <c r="C48" s="1">
        <v>40040</v>
      </c>
      <c r="D48" s="1">
        <v>22770</v>
      </c>
      <c r="E48" s="1">
        <v>4250</v>
      </c>
      <c r="F48" s="1">
        <v>4040</v>
      </c>
      <c r="G48" s="1">
        <v>71100</v>
      </c>
      <c r="L48" s="2" t="s">
        <v>10</v>
      </c>
      <c r="M48" s="1">
        <v>331080</v>
      </c>
    </row>
    <row r="49" spans="2:16" x14ac:dyDescent="0.3">
      <c r="B49" s="2" t="s">
        <v>14</v>
      </c>
      <c r="C49" s="1">
        <v>49160</v>
      </c>
      <c r="D49" s="1">
        <v>79040</v>
      </c>
      <c r="E49" s="1">
        <v>18180</v>
      </c>
      <c r="F49" s="1">
        <v>29480</v>
      </c>
      <c r="G49" s="1">
        <v>175860</v>
      </c>
      <c r="L49" s="2" t="s">
        <v>0</v>
      </c>
      <c r="M49" s="1">
        <v>1409500</v>
      </c>
    </row>
    <row r="50" spans="2:16" x14ac:dyDescent="0.3">
      <c r="B50" s="2" t="s">
        <v>13</v>
      </c>
      <c r="C50" s="1">
        <v>53300</v>
      </c>
      <c r="D50" s="1">
        <v>53460</v>
      </c>
      <c r="E50" s="1">
        <v>20270</v>
      </c>
      <c r="F50" s="1">
        <v>21320</v>
      </c>
      <c r="G50" s="1">
        <v>148350</v>
      </c>
    </row>
    <row r="51" spans="2:16" x14ac:dyDescent="0.3">
      <c r="B51" s="2" t="s">
        <v>12</v>
      </c>
      <c r="C51" s="1">
        <v>77620</v>
      </c>
      <c r="D51" s="1">
        <v>40040</v>
      </c>
      <c r="E51" s="1">
        <v>19680</v>
      </c>
      <c r="F51" s="1">
        <v>34720</v>
      </c>
      <c r="G51" s="1">
        <v>172060</v>
      </c>
      <c r="I51" s="5" t="s">
        <v>11</v>
      </c>
      <c r="J51" s="1" t="s">
        <v>8</v>
      </c>
    </row>
    <row r="52" spans="2:16" x14ac:dyDescent="0.3">
      <c r="B52" s="2" t="s">
        <v>10</v>
      </c>
      <c r="C52" s="1">
        <v>122750</v>
      </c>
      <c r="D52" s="1">
        <v>99860</v>
      </c>
      <c r="E52" s="1">
        <v>63910</v>
      </c>
      <c r="F52" s="1">
        <v>44560</v>
      </c>
      <c r="G52" s="1">
        <v>331080</v>
      </c>
      <c r="I52" s="2" t="s">
        <v>9</v>
      </c>
      <c r="J52" s="1">
        <v>577790</v>
      </c>
      <c r="L52" t="s">
        <v>8</v>
      </c>
      <c r="M52" t="s">
        <v>7</v>
      </c>
      <c r="N52" t="s">
        <v>6</v>
      </c>
      <c r="O52" t="s">
        <v>5</v>
      </c>
      <c r="P52" t="s">
        <v>4</v>
      </c>
    </row>
    <row r="53" spans="2:16" x14ac:dyDescent="0.3">
      <c r="B53" s="2" t="s">
        <v>0</v>
      </c>
      <c r="C53" s="1">
        <v>577790</v>
      </c>
      <c r="D53" s="1">
        <v>380690</v>
      </c>
      <c r="E53" s="1">
        <v>191780</v>
      </c>
      <c r="F53" s="1">
        <v>259240</v>
      </c>
      <c r="G53" s="1">
        <v>1409500</v>
      </c>
      <c r="I53" s="2" t="s">
        <v>3</v>
      </c>
      <c r="J53" s="1">
        <v>380690</v>
      </c>
      <c r="L53" s="1">
        <v>1409500</v>
      </c>
      <c r="M53" s="1">
        <v>896040</v>
      </c>
      <c r="N53" s="1">
        <v>513460</v>
      </c>
      <c r="O53" s="4">
        <v>0.36480810134524999</v>
      </c>
      <c r="P53" s="3">
        <v>752</v>
      </c>
    </row>
    <row r="54" spans="2:16" x14ac:dyDescent="0.3">
      <c r="I54" s="2" t="s">
        <v>2</v>
      </c>
      <c r="J54" s="1">
        <v>191780</v>
      </c>
    </row>
    <row r="55" spans="2:16" x14ac:dyDescent="0.3">
      <c r="I55" s="2" t="s">
        <v>1</v>
      </c>
      <c r="J55" s="1">
        <v>259240</v>
      </c>
    </row>
    <row r="56" spans="2:16" x14ac:dyDescent="0.3">
      <c r="I56" s="2" t="s">
        <v>0</v>
      </c>
      <c r="J56" s="1">
        <v>1409500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460E-498A-4625-9E89-EFD430F1A09B}">
  <dimension ref="AC26:AK37"/>
  <sheetViews>
    <sheetView tabSelected="1" zoomScale="49" zoomScaleNormal="49" workbookViewId="0">
      <selection activeCell="AD45" sqref="AD45"/>
    </sheetView>
  </sheetViews>
  <sheetFormatPr defaultColWidth="9.109375" defaultRowHeight="14.4" x14ac:dyDescent="0.3"/>
  <cols>
    <col min="1" max="1" width="2.88671875" style="16" customWidth="1"/>
    <col min="2" max="4" width="9.109375" style="16"/>
    <col min="5" max="5" width="13.88671875" style="16" customWidth="1"/>
    <col min="6" max="6" width="2.44140625" style="16" customWidth="1"/>
    <col min="7" max="9" width="9.109375" style="16"/>
    <col min="10" max="10" width="9.109375" style="16" customWidth="1"/>
    <col min="11" max="11" width="4.44140625" style="16" customWidth="1"/>
    <col min="12" max="12" width="3.44140625" style="16" customWidth="1"/>
    <col min="13" max="18" width="9.109375" style="16"/>
    <col min="19" max="19" width="7.6640625" style="16" customWidth="1"/>
    <col min="20" max="20" width="6" style="16" customWidth="1"/>
    <col min="21" max="21" width="2.88671875" style="16" customWidth="1"/>
    <col min="22" max="27" width="9.109375" style="16"/>
    <col min="28" max="28" width="3.33203125" style="16" customWidth="1"/>
    <col min="29" max="29" width="9.109375" style="16" customWidth="1"/>
    <col min="30" max="34" width="9.109375" style="16"/>
    <col min="35" max="35" width="6" style="16" customWidth="1"/>
    <col min="36" max="36" width="5.5546875" style="16" customWidth="1"/>
    <col min="37" max="16384" width="9.109375" style="16"/>
  </cols>
  <sheetData>
    <row r="26" spans="29:37" s="16" customFormat="1" ht="15.6" x14ac:dyDescent="0.3">
      <c r="AC26" s="19"/>
      <c r="AD26" s="19"/>
      <c r="AJ26" s="19"/>
      <c r="AK26" s="19"/>
    </row>
    <row r="27" spans="29:37" s="16" customFormat="1" x14ac:dyDescent="0.3">
      <c r="AC27" s="18"/>
      <c r="AD27" s="18"/>
      <c r="AJ27" s="18"/>
      <c r="AK27" s="18"/>
    </row>
    <row r="31" spans="29:37" s="16" customFormat="1" ht="15.6" x14ac:dyDescent="0.3">
      <c r="AG31" s="19"/>
      <c r="AH31" s="19"/>
    </row>
    <row r="32" spans="29:37" s="16" customFormat="1" x14ac:dyDescent="0.3">
      <c r="AG32" s="20"/>
      <c r="AH32" s="20"/>
    </row>
    <row r="36" spans="29:37" s="16" customFormat="1" ht="15.6" x14ac:dyDescent="0.3">
      <c r="AC36" s="19"/>
      <c r="AD36" s="19"/>
      <c r="AJ36" s="19"/>
      <c r="AK36" s="19"/>
    </row>
    <row r="37" spans="29:37" s="16" customFormat="1" x14ac:dyDescent="0.3">
      <c r="AC37" s="18"/>
      <c r="AD37" s="18"/>
      <c r="AJ37" s="17"/>
      <c r="AK37" s="17"/>
    </row>
  </sheetData>
  <mergeCells count="10">
    <mergeCell ref="AC26:AD26"/>
    <mergeCell ref="AJ26:AK26"/>
    <mergeCell ref="AJ27:AK27"/>
    <mergeCell ref="AC36:AD36"/>
    <mergeCell ref="AC37:AD37"/>
    <mergeCell ref="AJ36:AK36"/>
    <mergeCell ref="AJ37:AK37"/>
    <mergeCell ref="AG31:AH31"/>
    <mergeCell ref="AG32:AH32"/>
    <mergeCell ref="AC27:AD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 kamal eldin Abdelaziz</dc:creator>
  <cp:lastModifiedBy>Reem Awyes</cp:lastModifiedBy>
  <dcterms:created xsi:type="dcterms:W3CDTF">2015-06-05T18:17:20Z</dcterms:created>
  <dcterms:modified xsi:type="dcterms:W3CDTF">2026-09-27T19:06:43Z</dcterms:modified>
</cp:coreProperties>
</file>